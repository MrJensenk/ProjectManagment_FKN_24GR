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SIS" sheetId="1" r:id="rId5"/>
    <sheet state="visible" name="МАИ Эксперт 1" sheetId="2" r:id="rId6"/>
    <sheet state="visible" name="МАИ (Эксперт 2)" sheetId="3" r:id="rId7"/>
    <sheet state="visible" name="МАИ (Эксперт 3)" sheetId="4" r:id="rId8"/>
    <sheet state="visible" name="МАИ Итоги" sheetId="5" r:id="rId9"/>
    <sheet state="visible" name="Итог" sheetId="6" r:id="rId10"/>
  </sheets>
  <definedNames/>
  <calcPr/>
</workbook>
</file>

<file path=xl/sharedStrings.xml><?xml version="1.0" encoding="utf-8"?>
<sst xmlns="http://schemas.openxmlformats.org/spreadsheetml/2006/main" count="953" uniqueCount="78">
  <si>
    <t>МАИ — метод анализа иерархий</t>
  </si>
  <si>
    <t>Концепции проектов</t>
  </si>
  <si>
    <t>Матрицы построены из агрегированных ожидаемых оценок (m-компонент TFN с листа TOPSIS). При идеально согласованных данных CR = 0.</t>
  </si>
  <si>
    <t>Короткое название</t>
  </si>
  <si>
    <t>1. Матрица парных сравнений критериев</t>
  </si>
  <si>
    <t>Критерии</t>
  </si>
  <si>
    <t>С1</t>
  </si>
  <si>
    <t>С2</t>
  </si>
  <si>
    <t>С3</t>
  </si>
  <si>
    <t>С4</t>
  </si>
  <si>
    <t>1. СтудАктив — учёт инвентаря и мероприятий</t>
  </si>
  <si>
    <t>СтудАктив</t>
  </si>
  <si>
    <t xml:space="preserve">Техническая реализуемость </t>
  </si>
  <si>
    <t>2. Посещаемость — QR-отметка на парах</t>
  </si>
  <si>
    <t>Посещаемость</t>
  </si>
  <si>
    <t xml:space="preserve">Практическая ценность </t>
  </si>
  <si>
    <t>3. Мой рейтинг — трекер оценок и прогноз стипендии</t>
  </si>
  <si>
    <t>Мой рейтинг</t>
  </si>
  <si>
    <t xml:space="preserve">Понятность требований </t>
  </si>
  <si>
    <t>4. Аудитории — бронирование аудиторий и оборудования</t>
  </si>
  <si>
    <t>Аудитории</t>
  </si>
  <si>
    <t xml:space="preserve">Потенциал развития </t>
  </si>
  <si>
    <t>GM_i</t>
  </si>
  <si>
    <t>Этап 1 — экспертные оценки (трехточечные оценки)</t>
  </si>
  <si>
    <t>Сумма GM</t>
  </si>
  <si>
    <t>Эксперт 1 Шабунин</t>
  </si>
  <si>
    <t>Вектор приоритетов w</t>
  </si>
  <si>
    <t>Согласованность: Aw_i = Σ a_ij·w_j</t>
  </si>
  <si>
    <t>Aw_i / w_i</t>
  </si>
  <si>
    <t>I (песс)</t>
  </si>
  <si>
    <t>λ_max</t>
  </si>
  <si>
    <t>m (ожид)</t>
  </si>
  <si>
    <t>u (оптимист)</t>
  </si>
  <si>
    <t>CI = (λ_max - n)/(n-1)</t>
  </si>
  <si>
    <t>RI</t>
  </si>
  <si>
    <t>CR = CI / RI</t>
  </si>
  <si>
    <t>Согласовано? (CR ≤ 0.1)</t>
  </si>
  <si>
    <t>2. Матрица альтернатив по критерию С1</t>
  </si>
  <si>
    <t>Вес критерия</t>
  </si>
  <si>
    <t>Тип критерия</t>
  </si>
  <si>
    <t>max</t>
  </si>
  <si>
    <t>Эксперт 2 Попов</t>
  </si>
  <si>
    <t>Эксперт 3 Карманова</t>
  </si>
  <si>
    <t>3. Матрица альтернатив по критерию С2</t>
  </si>
  <si>
    <t>Этап 2 — агрегация и нормализация</t>
  </si>
  <si>
    <t>I</t>
  </si>
  <si>
    <t>m</t>
  </si>
  <si>
    <t>u</t>
  </si>
  <si>
    <t>4. Матрица альтернатив по критерию С3</t>
  </si>
  <si>
    <t>Нормализация</t>
  </si>
  <si>
    <t>5. Матрица альтернатив по критерию С4</t>
  </si>
  <si>
    <t>6. Синтез: итоговые приоритеты альтернатив</t>
  </si>
  <si>
    <t>Альтернатива</t>
  </si>
  <si>
    <t>p_С1</t>
  </si>
  <si>
    <t>p_С2</t>
  </si>
  <si>
    <t>p_С3</t>
  </si>
  <si>
    <t>p_С4</t>
  </si>
  <si>
    <t>S</t>
  </si>
  <si>
    <t>Ранг</t>
  </si>
  <si>
    <t>Этап 3 — взвешивание</t>
  </si>
  <si>
    <t>A+ (FPIS)</t>
  </si>
  <si>
    <t>A- (FNIS)</t>
  </si>
  <si>
    <t>Этап 4 — расстояния</t>
  </si>
  <si>
    <t>d* (до FPIS)</t>
  </si>
  <si>
    <t>Сводная таблица: TOPSIS vs МАИ</t>
  </si>
  <si>
    <t>TOPSIS: чем больше CC, тем лучше. МАИ: чем больше S, тем лучше.</t>
  </si>
  <si>
    <t>CC (TOPSIS)</t>
  </si>
  <si>
    <t>Ранг TOPSIS</t>
  </si>
  <si>
    <t>S (МАИ)</t>
  </si>
  <si>
    <t>Ранг МАИ</t>
  </si>
  <si>
    <t>Совпадение</t>
  </si>
  <si>
    <t>d- (до FNIS)</t>
  </si>
  <si>
    <t>Коэффициент ранговой корреляции Спирмена</t>
  </si>
  <si>
    <t>ρ</t>
  </si>
  <si>
    <t>Победитель по TOPSIS</t>
  </si>
  <si>
    <t>Коэффициент близости CC и ранги</t>
  </si>
  <si>
    <t>Победитель по МАИ</t>
  </si>
  <si>
    <t>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</si>
</sst>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Cambria"/>
    </font>
    <font>
      <b/>
      <sz val="11.0"/>
      <color theme="1"/>
      <name val="Cambria"/>
    </font>
    <font>
      <i/>
      <sz val="11.0"/>
      <color theme="1"/>
      <name val="Cambria"/>
    </font>
    <font>
      <b/>
      <sz val="12.0"/>
      <color theme="1"/>
      <name val="Cambria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FFF5CE"/>
        <bgColor rgb="FFFFF5CE"/>
      </patternFill>
    </fill>
    <fill>
      <patternFill patternType="solid">
        <fgColor rgb="FFFCE5CD"/>
        <bgColor rgb="FFFCE5CD"/>
      </patternFill>
    </fill>
    <fill>
      <patternFill patternType="solid">
        <fgColor rgb="FFFFFF6D"/>
        <bgColor rgb="FFFFFF6D"/>
      </patternFill>
    </fill>
    <fill>
      <patternFill patternType="solid">
        <fgColor rgb="FFD9E1F2"/>
        <bgColor rgb="FFD9E1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2" xfId="0" applyAlignment="1" applyBorder="1" applyFill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3" fontId="4" numFmtId="0" xfId="0" applyAlignment="1" applyFill="1" applyFont="1">
      <alignment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3" fontId="6" numFmtId="0" xfId="0" applyFill="1" applyFont="1"/>
    <xf borderId="1" fillId="0" fontId="6" numFmtId="0" xfId="0" applyBorder="1" applyFont="1"/>
    <xf borderId="1" fillId="2" fontId="2" numFmtId="0" xfId="0" applyAlignment="1" applyBorder="1" applyFill="1" applyFont="1">
      <alignment horizontal="center" shrinkToFit="0" vertical="bottom" wrapText="0"/>
    </xf>
    <xf borderId="1" fillId="2" fontId="6" numFmtId="0" xfId="0" applyBorder="1" applyFill="1" applyFont="1"/>
    <xf borderId="1" fillId="0" fontId="6" numFmtId="0" xfId="0" applyAlignment="1" applyBorder="1" applyFont="1">
      <alignment readingOrder="0"/>
    </xf>
    <xf borderId="1" fillId="0" fontId="5" numFmtId="2" xfId="0" applyAlignment="1" applyBorder="1" applyFont="1" applyNumberFormat="1">
      <alignment shrinkToFit="0" vertical="bottom" wrapText="0"/>
    </xf>
    <xf borderId="1" fillId="4" fontId="6" numFmtId="0" xfId="0" applyAlignment="1" applyBorder="1" applyFill="1" applyFont="1">
      <alignment readingOrder="0"/>
    </xf>
    <xf borderId="1" fillId="0" fontId="7" numFmtId="2" xfId="0" applyAlignment="1" applyBorder="1" applyFont="1" applyNumberFormat="1">
      <alignment shrinkToFit="0" vertical="bottom" wrapText="0"/>
    </xf>
    <xf borderId="1" fillId="0" fontId="7" numFmtId="0" xfId="0" applyAlignment="1" applyBorder="1" applyFont="1">
      <alignment shrinkToFit="0" vertical="bottom" wrapText="1"/>
    </xf>
    <xf borderId="0" fillId="0" fontId="5" numFmtId="2" xfId="0" applyAlignment="1" applyFont="1" applyNumberFormat="1">
      <alignment shrinkToFit="0" vertical="bottom" wrapText="1"/>
    </xf>
    <xf borderId="0" fillId="3" fontId="3" numFmtId="0" xfId="0" applyAlignment="1" applyFill="1" applyFont="1">
      <alignment shrinkToFit="0" vertical="bottom" wrapText="0"/>
    </xf>
    <xf borderId="0" fillId="0" fontId="5" numFmtId="2" xfId="0" applyAlignment="1" applyFont="1" applyNumberFormat="1">
      <alignment readingOrder="0" shrinkToFit="0" vertical="bottom" wrapText="0"/>
    </xf>
    <xf borderId="0" fillId="0" fontId="4" numFmtId="2" xfId="0" applyAlignment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2" numFmtId="2" xfId="0" applyAlignment="1" applyFont="1" applyNumberFormat="1">
      <alignment readingOrder="0" shrinkToFit="0" vertical="bottom" wrapText="0"/>
    </xf>
    <xf borderId="0" fillId="2" fontId="6" numFmtId="0" xfId="0" applyFill="1" applyFont="1"/>
    <xf borderId="0" fillId="0" fontId="6" numFmtId="0" xfId="0" applyFont="1"/>
    <xf borderId="2" fillId="2" fontId="7" numFmtId="2" xfId="0" applyAlignment="1" applyBorder="1" applyFill="1" applyFont="1" applyNumberFormat="1">
      <alignment horizontal="center" shrinkToFit="0" vertical="bottom" wrapText="0"/>
    </xf>
    <xf borderId="3" fillId="0" fontId="8" numFmtId="0" xfId="0" applyBorder="1" applyFont="1"/>
    <xf borderId="4" fillId="0" fontId="8" numFmtId="0" xfId="0" applyBorder="1" applyFont="1"/>
    <xf borderId="1" fillId="3" fontId="5" numFmtId="2" xfId="0" applyAlignment="1" applyBorder="1" applyFill="1" applyFont="1" applyNumberFormat="1">
      <alignment horizontal="center" readingOrder="0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5" fontId="5" numFmtId="2" xfId="0" applyAlignment="1" applyBorder="1" applyFill="1" applyFont="1" applyNumberFormat="1">
      <alignment shrinkToFit="0" vertical="bottom" wrapText="0"/>
    </xf>
    <xf borderId="2" fillId="0" fontId="5" numFmtId="2" xfId="0" applyAlignment="1" applyBorder="1" applyFont="1" applyNumberFormat="1">
      <alignment horizontal="center" shrinkToFit="0" vertical="bottom" wrapText="0"/>
    </xf>
    <xf borderId="1" fillId="0" fontId="5" numFmtId="2" xfId="0" applyAlignment="1" applyBorder="1" applyFont="1" applyNumberFormat="1">
      <alignment horizontal="center" shrinkToFit="0" vertical="center" wrapText="0"/>
    </xf>
    <xf borderId="0" fillId="0" fontId="4" numFmtId="2" xfId="0" applyAlignment="1" applyFont="1" applyNumberFormat="1">
      <alignment readingOrder="0" shrinkToFit="0" vertical="bottom" wrapText="0"/>
    </xf>
    <xf borderId="1" fillId="3" fontId="5" numFmtId="0" xfId="0" applyAlignment="1" applyBorder="1" applyFill="1" applyFont="1">
      <alignment horizontal="center"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5" fillId="6" fontId="2" numFmtId="0" xfId="0" applyAlignment="1" applyBorder="1" applyFill="1" applyFont="1">
      <alignment horizontal="center" shrinkToFit="0" vertical="bottom" wrapText="0"/>
    </xf>
    <xf borderId="0" fillId="0" fontId="6" numFmtId="2" xfId="0" applyFont="1" applyNumberFormat="1"/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2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22.14"/>
    <col customWidth="1" min="3" max="3" width="11.29"/>
    <col customWidth="1" min="4" max="4" width="12.71"/>
    <col customWidth="1" min="5" max="5" width="28.43"/>
    <col customWidth="1" min="6" max="7" width="15.14"/>
    <col customWidth="1" min="8" max="8" width="8.0"/>
    <col customWidth="1" min="9" max="9" width="12.86"/>
    <col customWidth="1" min="10" max="10" width="13.57"/>
    <col customWidth="1" min="11" max="11" width="8.0"/>
    <col customWidth="1" min="12" max="12" width="12.14"/>
    <col customWidth="1" min="13" max="13" width="14.14"/>
    <col customWidth="1" min="14" max="26" width="8.71"/>
  </cols>
  <sheetData>
    <row r="1">
      <c r="A1" s="2" t="s">
        <v>1</v>
      </c>
      <c r="B1" s="2" t="s">
        <v>3</v>
      </c>
      <c r="C1" s="5"/>
      <c r="D1" s="5"/>
      <c r="E1" s="2" t="s">
        <v>5</v>
      </c>
      <c r="F1" s="5"/>
      <c r="G1" s="5"/>
      <c r="H1" s="5"/>
      <c r="I1" s="5"/>
      <c r="K1" s="5"/>
      <c r="L1" s="5"/>
      <c r="M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1" t="s">
        <v>10</v>
      </c>
      <c r="B2" s="11" t="s">
        <v>11</v>
      </c>
      <c r="C2" s="5"/>
      <c r="D2" s="5"/>
      <c r="E2" s="13" t="s">
        <v>12</v>
      </c>
      <c r="F2" s="5"/>
      <c r="G2" s="5"/>
      <c r="H2" s="5"/>
      <c r="I2" s="5"/>
      <c r="K2" s="5"/>
      <c r="L2" s="5"/>
      <c r="M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 t="s">
        <v>13</v>
      </c>
      <c r="B3" s="11" t="s">
        <v>14</v>
      </c>
      <c r="C3" s="5"/>
      <c r="D3" s="5"/>
      <c r="E3" s="14" t="s">
        <v>15</v>
      </c>
      <c r="F3" s="5"/>
      <c r="G3" s="5"/>
      <c r="H3" s="5"/>
      <c r="I3" s="5"/>
      <c r="K3" s="5"/>
      <c r="L3" s="5"/>
      <c r="M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 t="s">
        <v>16</v>
      </c>
      <c r="B4" s="11" t="s">
        <v>17</v>
      </c>
      <c r="C4" s="5"/>
      <c r="D4" s="5"/>
      <c r="E4" s="14" t="s">
        <v>18</v>
      </c>
      <c r="F4" s="5"/>
      <c r="G4" s="5"/>
      <c r="H4" s="5"/>
      <c r="I4" s="5"/>
      <c r="K4" s="5"/>
      <c r="L4" s="5"/>
      <c r="M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 t="s">
        <v>19</v>
      </c>
      <c r="B5" s="11" t="s">
        <v>20</v>
      </c>
      <c r="C5" s="5"/>
      <c r="D5" s="5"/>
      <c r="E5" s="13" t="s">
        <v>21</v>
      </c>
      <c r="F5" s="5"/>
      <c r="G5" s="5"/>
      <c r="H5" s="5"/>
      <c r="I5" s="5"/>
      <c r="K5" s="5"/>
      <c r="L5" s="5"/>
      <c r="M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15"/>
      <c r="F6" s="5"/>
      <c r="G6" s="15"/>
      <c r="H6" s="5"/>
      <c r="I6" s="5"/>
      <c r="J6" s="5"/>
      <c r="K6" s="5"/>
      <c r="L6" s="5"/>
      <c r="M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5"/>
      <c r="C9" s="5"/>
      <c r="D9" s="5"/>
      <c r="E9" s="5"/>
      <c r="F9" s="5"/>
      <c r="G9" s="17"/>
      <c r="H9" s="5"/>
      <c r="I9" s="5"/>
      <c r="J9" s="5"/>
      <c r="K9" s="5"/>
      <c r="L9" s="5"/>
      <c r="M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5"/>
      <c r="C10" s="5"/>
      <c r="D10" s="5"/>
      <c r="E10" s="5"/>
      <c r="F10" s="5"/>
      <c r="G10" s="17"/>
      <c r="H10" s="5"/>
      <c r="I10" s="5"/>
      <c r="J10" s="5"/>
      <c r="K10" s="5"/>
      <c r="L10" s="5"/>
      <c r="M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8" t="s">
        <v>23</v>
      </c>
      <c r="B11" s="5"/>
      <c r="C11" s="5"/>
      <c r="D11" s="5"/>
      <c r="E11" s="5"/>
      <c r="F11" s="5"/>
      <c r="G11" s="17"/>
      <c r="H11" s="5"/>
      <c r="I11" s="5"/>
      <c r="J11" s="5"/>
      <c r="K11" s="5"/>
      <c r="L11" s="5"/>
      <c r="M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0" t="s">
        <v>25</v>
      </c>
      <c r="B12" s="23" t="s">
        <v>12</v>
      </c>
      <c r="C12" s="24"/>
      <c r="D12" s="25"/>
      <c r="E12" s="23" t="s">
        <v>15</v>
      </c>
      <c r="F12" s="24"/>
      <c r="G12" s="25"/>
      <c r="H12" s="23" t="s">
        <v>18</v>
      </c>
      <c r="I12" s="24"/>
      <c r="J12" s="25"/>
      <c r="K12" s="23" t="s">
        <v>21</v>
      </c>
      <c r="L12" s="24"/>
      <c r="M12" s="2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26" t="s">
        <v>29</v>
      </c>
      <c r="C13" s="26" t="s">
        <v>31</v>
      </c>
      <c r="D13" s="26" t="s">
        <v>32</v>
      </c>
      <c r="E13" s="26" t="s">
        <v>29</v>
      </c>
      <c r="F13" s="26" t="s">
        <v>31</v>
      </c>
      <c r="G13" s="26" t="s">
        <v>32</v>
      </c>
      <c r="H13" s="26" t="s">
        <v>29</v>
      </c>
      <c r="I13" s="26" t="s">
        <v>31</v>
      </c>
      <c r="J13" s="26" t="s">
        <v>32</v>
      </c>
      <c r="K13" s="26" t="s">
        <v>29</v>
      </c>
      <c r="L13" s="26" t="s">
        <v>31</v>
      </c>
      <c r="M13" s="26" t="s">
        <v>32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8" t="s">
        <v>11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8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8" t="s">
        <v>17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8" t="s">
        <v>20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8" t="s">
        <v>38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8" t="s">
        <v>39</v>
      </c>
      <c r="B19" s="29" t="s">
        <v>40</v>
      </c>
      <c r="C19" s="24"/>
      <c r="D19" s="25"/>
      <c r="E19" s="29" t="s">
        <v>40</v>
      </c>
      <c r="F19" s="24"/>
      <c r="G19" s="25"/>
      <c r="H19" s="29" t="s">
        <v>40</v>
      </c>
      <c r="I19" s="24"/>
      <c r="J19" s="25"/>
      <c r="K19" s="29" t="s">
        <v>40</v>
      </c>
      <c r="L19" s="24"/>
      <c r="M19" s="2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0" t="s">
        <v>41</v>
      </c>
      <c r="B24" s="23" t="s">
        <v>12</v>
      </c>
      <c r="C24" s="24"/>
      <c r="D24" s="25"/>
      <c r="E24" s="23" t="s">
        <v>15</v>
      </c>
      <c r="F24" s="24"/>
      <c r="G24" s="25"/>
      <c r="H24" s="23" t="s">
        <v>18</v>
      </c>
      <c r="I24" s="24"/>
      <c r="J24" s="25"/>
      <c r="K24" s="23" t="s">
        <v>21</v>
      </c>
      <c r="L24" s="24"/>
      <c r="M24" s="2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26" t="s">
        <v>29</v>
      </c>
      <c r="C25" s="26" t="s">
        <v>31</v>
      </c>
      <c r="D25" s="26" t="s">
        <v>32</v>
      </c>
      <c r="E25" s="26" t="s">
        <v>29</v>
      </c>
      <c r="F25" s="26" t="s">
        <v>31</v>
      </c>
      <c r="G25" s="26" t="s">
        <v>32</v>
      </c>
      <c r="H25" s="26" t="s">
        <v>29</v>
      </c>
      <c r="I25" s="26" t="s">
        <v>31</v>
      </c>
      <c r="J25" s="26" t="s">
        <v>32</v>
      </c>
      <c r="K25" s="26" t="s">
        <v>29</v>
      </c>
      <c r="L25" s="26" t="s">
        <v>31</v>
      </c>
      <c r="M25" s="26" t="s">
        <v>32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8" t="s">
        <v>11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8" t="s">
        <v>14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8" t="s">
        <v>17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8" t="s">
        <v>20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8" t="s">
        <v>38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8" t="s">
        <v>39</v>
      </c>
      <c r="B31" s="29" t="s">
        <v>40</v>
      </c>
      <c r="C31" s="24"/>
      <c r="D31" s="25"/>
      <c r="E31" s="29" t="s">
        <v>40</v>
      </c>
      <c r="F31" s="24"/>
      <c r="G31" s="25"/>
      <c r="H31" s="29" t="s">
        <v>40</v>
      </c>
      <c r="I31" s="24"/>
      <c r="J31" s="25"/>
      <c r="K31" s="29" t="s">
        <v>40</v>
      </c>
      <c r="L31" s="24"/>
      <c r="M31" s="2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0" t="s">
        <v>42</v>
      </c>
      <c r="B36" s="23" t="s">
        <v>12</v>
      </c>
      <c r="C36" s="24"/>
      <c r="D36" s="25"/>
      <c r="E36" s="23" t="s">
        <v>15</v>
      </c>
      <c r="F36" s="24"/>
      <c r="G36" s="25"/>
      <c r="H36" s="23" t="s">
        <v>18</v>
      </c>
      <c r="I36" s="24"/>
      <c r="J36" s="25"/>
      <c r="K36" s="23" t="s">
        <v>21</v>
      </c>
      <c r="L36" s="24"/>
      <c r="M36" s="2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26" t="s">
        <v>29</v>
      </c>
      <c r="C37" s="26" t="s">
        <v>31</v>
      </c>
      <c r="D37" s="26" t="s">
        <v>32</v>
      </c>
      <c r="E37" s="26" t="s">
        <v>29</v>
      </c>
      <c r="F37" s="26" t="s">
        <v>31</v>
      </c>
      <c r="G37" s="26" t="s">
        <v>32</v>
      </c>
      <c r="H37" s="26" t="s">
        <v>29</v>
      </c>
      <c r="I37" s="26" t="s">
        <v>31</v>
      </c>
      <c r="J37" s="26" t="s">
        <v>32</v>
      </c>
      <c r="K37" s="26" t="s">
        <v>29</v>
      </c>
      <c r="L37" s="26" t="s">
        <v>31</v>
      </c>
      <c r="M37" s="26" t="s">
        <v>32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8" t="s">
        <v>11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8" t="s">
        <v>14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8" t="s">
        <v>17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8" t="s">
        <v>20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8" t="s">
        <v>38</v>
      </c>
      <c r="B42" s="11"/>
      <c r="C42" s="11"/>
      <c r="D42" s="11"/>
      <c r="E42" s="30"/>
      <c r="F42" s="11"/>
      <c r="G42" s="11"/>
      <c r="H42" s="11"/>
      <c r="I42" s="11"/>
      <c r="J42" s="11"/>
      <c r="K42" s="11"/>
      <c r="L42" s="11"/>
      <c r="M42" s="11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8" t="s">
        <v>39</v>
      </c>
      <c r="B43" s="29" t="s">
        <v>40</v>
      </c>
      <c r="C43" s="24"/>
      <c r="D43" s="25"/>
      <c r="E43" s="29" t="s">
        <v>40</v>
      </c>
      <c r="F43" s="24"/>
      <c r="G43" s="25"/>
      <c r="H43" s="29" t="s">
        <v>40</v>
      </c>
      <c r="I43" s="24"/>
      <c r="J43" s="25"/>
      <c r="K43" s="29" t="s">
        <v>40</v>
      </c>
      <c r="L43" s="24"/>
      <c r="M43" s="2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1" t="s">
        <v>44</v>
      </c>
      <c r="B49" s="23" t="s">
        <v>12</v>
      </c>
      <c r="C49" s="24"/>
      <c r="D49" s="25"/>
      <c r="E49" s="23" t="s">
        <v>15</v>
      </c>
      <c r="F49" s="24"/>
      <c r="G49" s="25"/>
      <c r="H49" s="23" t="s">
        <v>18</v>
      </c>
      <c r="I49" s="24"/>
      <c r="J49" s="25"/>
      <c r="K49" s="23" t="s">
        <v>21</v>
      </c>
      <c r="L49" s="24"/>
      <c r="M49" s="2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32" t="s">
        <v>45</v>
      </c>
      <c r="C50" s="32" t="s">
        <v>46</v>
      </c>
      <c r="D50" s="32" t="s">
        <v>47</v>
      </c>
      <c r="E50" s="32" t="s">
        <v>45</v>
      </c>
      <c r="F50" s="32" t="s">
        <v>46</v>
      </c>
      <c r="G50" s="32" t="s">
        <v>47</v>
      </c>
      <c r="H50" s="32" t="s">
        <v>45</v>
      </c>
      <c r="I50" s="32" t="s">
        <v>46</v>
      </c>
      <c r="J50" s="32" t="s">
        <v>47</v>
      </c>
      <c r="K50" s="32" t="s">
        <v>45</v>
      </c>
      <c r="L50" s="32" t="s">
        <v>46</v>
      </c>
      <c r="M50" s="32" t="s">
        <v>47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 t="s">
        <v>11</v>
      </c>
      <c r="B51" s="5">
        <f t="shared" ref="B51:B54" si="2">MIN(B14,B26,B38)</f>
        <v>0</v>
      </c>
      <c r="C51" s="5" t="str">
        <f t="shared" ref="C51:C54" si="3">AVERAGE(C14,C26,C38)</f>
        <v>#DIV/0!</v>
      </c>
      <c r="D51" s="5">
        <f t="shared" ref="D51:D54" si="4">MAX(D14,D26,D38)</f>
        <v>0</v>
      </c>
      <c r="E51" s="5">
        <f t="shared" ref="E51:M51" si="1">MIN(E14,E26,E38)</f>
        <v>0</v>
      </c>
      <c r="F51" s="5">
        <f t="shared" si="1"/>
        <v>0</v>
      </c>
      <c r="G51" s="5">
        <f t="shared" si="1"/>
        <v>0</v>
      </c>
      <c r="H51" s="5">
        <f t="shared" si="1"/>
        <v>0</v>
      </c>
      <c r="I51" s="5">
        <f t="shared" si="1"/>
        <v>0</v>
      </c>
      <c r="J51" s="5">
        <f t="shared" si="1"/>
        <v>0</v>
      </c>
      <c r="K51" s="5">
        <f t="shared" si="1"/>
        <v>0</v>
      </c>
      <c r="L51" s="5">
        <f t="shared" si="1"/>
        <v>0</v>
      </c>
      <c r="M51" s="5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 t="s">
        <v>14</v>
      </c>
      <c r="B52" s="5">
        <f t="shared" si="2"/>
        <v>0</v>
      </c>
      <c r="C52" s="5" t="str">
        <f t="shared" si="3"/>
        <v>#DIV/0!</v>
      </c>
      <c r="D52" s="5">
        <f t="shared" si="4"/>
        <v>0</v>
      </c>
      <c r="E52" s="5">
        <f t="shared" ref="E52:M52" si="5">MIN(E15,E27,E39)</f>
        <v>0</v>
      </c>
      <c r="F52" s="5">
        <f t="shared" si="5"/>
        <v>0</v>
      </c>
      <c r="G52" s="5">
        <f t="shared" si="5"/>
        <v>0</v>
      </c>
      <c r="H52" s="5">
        <f t="shared" si="5"/>
        <v>0</v>
      </c>
      <c r="I52" s="5">
        <f t="shared" si="5"/>
        <v>0</v>
      </c>
      <c r="J52" s="5">
        <f t="shared" si="5"/>
        <v>0</v>
      </c>
      <c r="K52" s="5">
        <f t="shared" si="5"/>
        <v>0</v>
      </c>
      <c r="L52" s="5">
        <f t="shared" si="5"/>
        <v>0</v>
      </c>
      <c r="M52" s="5">
        <f t="shared" si="5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 t="s">
        <v>17</v>
      </c>
      <c r="B53" s="5">
        <f t="shared" si="2"/>
        <v>0</v>
      </c>
      <c r="C53" s="5" t="str">
        <f t="shared" si="3"/>
        <v>#DIV/0!</v>
      </c>
      <c r="D53" s="5">
        <f t="shared" si="4"/>
        <v>0</v>
      </c>
      <c r="E53" s="5">
        <f t="shared" ref="E53:M53" si="6">MIN(E16,E28,E40)</f>
        <v>0</v>
      </c>
      <c r="F53" s="5">
        <f t="shared" si="6"/>
        <v>0</v>
      </c>
      <c r="G53" s="5">
        <f t="shared" si="6"/>
        <v>0</v>
      </c>
      <c r="H53" s="5">
        <f t="shared" si="6"/>
        <v>0</v>
      </c>
      <c r="I53" s="5">
        <f t="shared" si="6"/>
        <v>0</v>
      </c>
      <c r="J53" s="5">
        <f t="shared" si="6"/>
        <v>0</v>
      </c>
      <c r="K53" s="5">
        <f t="shared" si="6"/>
        <v>0</v>
      </c>
      <c r="L53" s="5">
        <f t="shared" si="6"/>
        <v>0</v>
      </c>
      <c r="M53" s="5">
        <f t="shared" si="6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 t="s">
        <v>20</v>
      </c>
      <c r="B54" s="5">
        <f t="shared" si="2"/>
        <v>0</v>
      </c>
      <c r="C54" s="5" t="str">
        <f t="shared" si="3"/>
        <v>#DIV/0!</v>
      </c>
      <c r="D54" s="5">
        <f t="shared" si="4"/>
        <v>0</v>
      </c>
      <c r="E54" s="5">
        <f t="shared" ref="E54:M54" si="7">MIN(E17,E29,E41)</f>
        <v>0</v>
      </c>
      <c r="F54" s="5">
        <f t="shared" si="7"/>
        <v>0</v>
      </c>
      <c r="G54" s="5">
        <f t="shared" si="7"/>
        <v>0</v>
      </c>
      <c r="H54" s="5">
        <f t="shared" si="7"/>
        <v>0</v>
      </c>
      <c r="I54" s="5">
        <f t="shared" si="7"/>
        <v>0</v>
      </c>
      <c r="J54" s="5">
        <f t="shared" si="7"/>
        <v>0</v>
      </c>
      <c r="K54" s="5">
        <f t="shared" si="7"/>
        <v>0</v>
      </c>
      <c r="L54" s="5">
        <f t="shared" si="7"/>
        <v>0</v>
      </c>
      <c r="M54" s="5">
        <f t="shared" si="7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23" t="s">
        <v>12</v>
      </c>
      <c r="C55" s="24"/>
      <c r="D55" s="25"/>
      <c r="E55" s="23" t="s">
        <v>15</v>
      </c>
      <c r="F55" s="24"/>
      <c r="G55" s="25"/>
      <c r="H55" s="23" t="s">
        <v>18</v>
      </c>
      <c r="I55" s="24"/>
      <c r="J55" s="25"/>
      <c r="K55" s="23" t="s">
        <v>21</v>
      </c>
      <c r="L55" s="24"/>
      <c r="M55" s="2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3" t="s">
        <v>49</v>
      </c>
      <c r="B56" s="32" t="s">
        <v>45</v>
      </c>
      <c r="C56" s="32" t="s">
        <v>46</v>
      </c>
      <c r="D56" s="32" t="s">
        <v>47</v>
      </c>
      <c r="E56" s="32" t="s">
        <v>45</v>
      </c>
      <c r="F56" s="32" t="s">
        <v>46</v>
      </c>
      <c r="G56" s="32" t="s">
        <v>47</v>
      </c>
      <c r="H56" s="32" t="s">
        <v>45</v>
      </c>
      <c r="I56" s="32" t="s">
        <v>46</v>
      </c>
      <c r="J56" s="32" t="s">
        <v>47</v>
      </c>
      <c r="K56" s="32" t="s">
        <v>45</v>
      </c>
      <c r="L56" s="32" t="s">
        <v>46</v>
      </c>
      <c r="M56" s="32" t="s">
        <v>47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 t="s">
        <v>11</v>
      </c>
      <c r="B57" s="5" t="str">
        <f t="shared" ref="B57:D57" si="8">B51/MAX($D$51:$D$54)</f>
        <v>#DIV/0!</v>
      </c>
      <c r="C57" s="5" t="str">
        <f t="shared" si="8"/>
        <v>#DIV/0!</v>
      </c>
      <c r="D57" s="5" t="str">
        <f t="shared" si="8"/>
        <v>#DIV/0!</v>
      </c>
      <c r="E57" s="5" t="str">
        <f t="shared" ref="E57:G57" si="9">E51/MAX($G$51:$G$54)</f>
        <v>#DIV/0!</v>
      </c>
      <c r="F57" s="5" t="str">
        <f t="shared" si="9"/>
        <v>#DIV/0!</v>
      </c>
      <c r="G57" s="5" t="str">
        <f t="shared" si="9"/>
        <v>#DIV/0!</v>
      </c>
      <c r="H57" s="5" t="str">
        <f t="shared" ref="H57:J57" si="10">H51/MAX($J$51:$J$54)</f>
        <v>#DIV/0!</v>
      </c>
      <c r="I57" s="5" t="str">
        <f t="shared" si="10"/>
        <v>#DIV/0!</v>
      </c>
      <c r="J57" s="5" t="str">
        <f t="shared" si="10"/>
        <v>#DIV/0!</v>
      </c>
      <c r="K57" s="5" t="str">
        <f t="shared" ref="K57:M57" si="11">K51/MAX($M$51:$M$54)</f>
        <v>#DIV/0!</v>
      </c>
      <c r="L57" s="5" t="str">
        <f t="shared" si="11"/>
        <v>#DIV/0!</v>
      </c>
      <c r="M57" s="5" t="str">
        <f t="shared" si="11"/>
        <v>#DIV/0!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 t="s">
        <v>14</v>
      </c>
      <c r="B58" s="5" t="str">
        <f t="shared" ref="B58:D58" si="12">B52/MAX($D$51:$D$54)</f>
        <v>#DIV/0!</v>
      </c>
      <c r="C58" s="5" t="str">
        <f t="shared" si="12"/>
        <v>#DIV/0!</v>
      </c>
      <c r="D58" s="5" t="str">
        <f t="shared" si="12"/>
        <v>#DIV/0!</v>
      </c>
      <c r="E58" s="5" t="str">
        <f t="shared" ref="E58:G58" si="13">E52/MAX($G$51:$G$54)</f>
        <v>#DIV/0!</v>
      </c>
      <c r="F58" s="5" t="str">
        <f t="shared" si="13"/>
        <v>#DIV/0!</v>
      </c>
      <c r="G58" s="5" t="str">
        <f t="shared" si="13"/>
        <v>#DIV/0!</v>
      </c>
      <c r="H58" s="5" t="str">
        <f t="shared" ref="H58:J58" si="14">H52/MAX($J$51:$J$54)</f>
        <v>#DIV/0!</v>
      </c>
      <c r="I58" s="5" t="str">
        <f t="shared" si="14"/>
        <v>#DIV/0!</v>
      </c>
      <c r="J58" s="5" t="str">
        <f t="shared" si="14"/>
        <v>#DIV/0!</v>
      </c>
      <c r="K58" s="5" t="str">
        <f t="shared" ref="K58:M58" si="15">K52/MAX($M$51:$M$54)</f>
        <v>#DIV/0!</v>
      </c>
      <c r="L58" s="5" t="str">
        <f t="shared" si="15"/>
        <v>#DIV/0!</v>
      </c>
      <c r="M58" s="5" t="str">
        <f t="shared" si="15"/>
        <v>#DIV/0!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 t="s">
        <v>17</v>
      </c>
      <c r="B59" s="5" t="str">
        <f t="shared" ref="B59:D59" si="16">B53/MAX($D$51:$D$54)</f>
        <v>#DIV/0!</v>
      </c>
      <c r="C59" s="5" t="str">
        <f t="shared" si="16"/>
        <v>#DIV/0!</v>
      </c>
      <c r="D59" s="5" t="str">
        <f t="shared" si="16"/>
        <v>#DIV/0!</v>
      </c>
      <c r="E59" s="5" t="str">
        <f t="shared" ref="E59:G59" si="17">E53/MAX($G$51:$G$54)</f>
        <v>#DIV/0!</v>
      </c>
      <c r="F59" s="5" t="str">
        <f t="shared" si="17"/>
        <v>#DIV/0!</v>
      </c>
      <c r="G59" s="5" t="str">
        <f t="shared" si="17"/>
        <v>#DIV/0!</v>
      </c>
      <c r="H59" s="5" t="str">
        <f t="shared" ref="H59:J59" si="18">H53/MAX($J$51:$J$54)</f>
        <v>#DIV/0!</v>
      </c>
      <c r="I59" s="5" t="str">
        <f t="shared" si="18"/>
        <v>#DIV/0!</v>
      </c>
      <c r="J59" s="5" t="str">
        <f t="shared" si="18"/>
        <v>#DIV/0!</v>
      </c>
      <c r="K59" s="5" t="str">
        <f t="shared" ref="K59:M59" si="19">K53/MAX($M$51:$M$54)</f>
        <v>#DIV/0!</v>
      </c>
      <c r="L59" s="5" t="str">
        <f t="shared" si="19"/>
        <v>#DIV/0!</v>
      </c>
      <c r="M59" s="5" t="str">
        <f t="shared" si="19"/>
        <v>#DIV/0!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 t="s">
        <v>20</v>
      </c>
      <c r="B60" s="5" t="str">
        <f t="shared" ref="B60:D60" si="20">B54/MAX($D$51:$D$54)</f>
        <v>#DIV/0!</v>
      </c>
      <c r="C60" s="5" t="str">
        <f t="shared" si="20"/>
        <v>#DIV/0!</v>
      </c>
      <c r="D60" s="5" t="str">
        <f t="shared" si="20"/>
        <v>#DIV/0!</v>
      </c>
      <c r="E60" s="5" t="str">
        <f t="shared" ref="E60:G60" si="21">E54/MAX($G$51:$G$54)</f>
        <v>#DIV/0!</v>
      </c>
      <c r="F60" s="5" t="str">
        <f t="shared" si="21"/>
        <v>#DIV/0!</v>
      </c>
      <c r="G60" s="5" t="str">
        <f t="shared" si="21"/>
        <v>#DIV/0!</v>
      </c>
      <c r="H60" s="5" t="str">
        <f t="shared" ref="H60:J60" si="22">H54/MAX($J$51:$J$54)</f>
        <v>#DIV/0!</v>
      </c>
      <c r="I60" s="5" t="str">
        <f t="shared" si="22"/>
        <v>#DIV/0!</v>
      </c>
      <c r="J60" s="5" t="str">
        <f t="shared" si="22"/>
        <v>#DIV/0!</v>
      </c>
      <c r="K60" s="5" t="str">
        <f t="shared" ref="K60:M60" si="23">K54/MAX($M$51:$M$54)</f>
        <v>#DIV/0!</v>
      </c>
      <c r="L60" s="5" t="str">
        <f t="shared" si="23"/>
        <v>#DIV/0!</v>
      </c>
      <c r="M60" s="5" t="str">
        <f t="shared" si="23"/>
        <v>#DIV/0!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 t="s">
        <v>59</v>
      </c>
      <c r="B62" s="23" t="s">
        <v>12</v>
      </c>
      <c r="C62" s="24"/>
      <c r="D62" s="25"/>
      <c r="E62" s="23" t="s">
        <v>15</v>
      </c>
      <c r="F62" s="24"/>
      <c r="G62" s="25"/>
      <c r="H62" s="23" t="s">
        <v>18</v>
      </c>
      <c r="I62" s="24"/>
      <c r="J62" s="25"/>
      <c r="K62" s="23" t="s">
        <v>21</v>
      </c>
      <c r="L62" s="24"/>
      <c r="M62" s="2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32" t="s">
        <v>45</v>
      </c>
      <c r="C63" s="32" t="s">
        <v>46</v>
      </c>
      <c r="D63" s="32" t="s">
        <v>47</v>
      </c>
      <c r="E63" s="32" t="s">
        <v>45</v>
      </c>
      <c r="F63" s="32" t="s">
        <v>46</v>
      </c>
      <c r="G63" s="32" t="s">
        <v>47</v>
      </c>
      <c r="H63" s="32" t="s">
        <v>45</v>
      </c>
      <c r="I63" s="32" t="s">
        <v>46</v>
      </c>
      <c r="J63" s="32" t="s">
        <v>47</v>
      </c>
      <c r="K63" s="32" t="s">
        <v>45</v>
      </c>
      <c r="L63" s="32" t="s">
        <v>46</v>
      </c>
      <c r="M63" s="32" t="s">
        <v>47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 t="s">
        <v>11</v>
      </c>
      <c r="B64" s="5" t="str">
        <f t="shared" ref="B64:B67" si="24">B57 * MIN($B$18,$B$30,$B$42)</f>
        <v>#DIV/0!</v>
      </c>
      <c r="C64" s="5" t="str">
        <f t="shared" ref="C64:C67" si="25">C57* AVERAGE($C$18,$C$30,$C$42)</f>
        <v>#DIV/0!</v>
      </c>
      <c r="D64" s="5" t="str">
        <f t="shared" ref="D64:D67" si="26">D57* MAX($D$18,$D$30,$D$42)</f>
        <v>#DIV/0!</v>
      </c>
      <c r="E64" s="5" t="str">
        <f t="shared" ref="E64:E67" si="27">E57 * MIN($E$18,$E$30,$E$42)</f>
        <v>#DIV/0!</v>
      </c>
      <c r="F64" s="5" t="str">
        <f t="shared" ref="F64:F67" si="28">F57* AVERAGE($F$18,$F$30,$F$42)</f>
        <v>#DIV/0!</v>
      </c>
      <c r="G64" s="5" t="str">
        <f t="shared" ref="G64:G67" si="29">G57* MAX($G$18,$G$30,$G$42)</f>
        <v>#DIV/0!</v>
      </c>
      <c r="H64" s="5" t="str">
        <f t="shared" ref="H64:H67" si="30">H57 * MIN($H$18,$H$30,$H$42)</f>
        <v>#DIV/0!</v>
      </c>
      <c r="I64" s="5" t="str">
        <f t="shared" ref="I64:I67" si="31">I57* AVERAGE($I$18,$I$30,$I$42)</f>
        <v>#DIV/0!</v>
      </c>
      <c r="J64" s="5" t="str">
        <f t="shared" ref="J64:J67" si="32">J57* MAX($J$18,$J$30,$J$42)</f>
        <v>#DIV/0!</v>
      </c>
      <c r="K64" s="5" t="str">
        <f t="shared" ref="K64:K67" si="33">K57 * MIN($K$18,$K$30,$K$42)</f>
        <v>#DIV/0!</v>
      </c>
      <c r="L64" s="5" t="str">
        <f t="shared" ref="L64:L67" si="34">L57* AVERAGE($L$18,$L$30,$L$42)</f>
        <v>#DIV/0!</v>
      </c>
      <c r="M64" s="5" t="str">
        <f t="shared" ref="M64:M67" si="35">M57* MAX($M$18,$M$30,$M$42)</f>
        <v>#DIV/0!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 t="s">
        <v>14</v>
      </c>
      <c r="B65" s="5" t="str">
        <f t="shared" si="24"/>
        <v>#DIV/0!</v>
      </c>
      <c r="C65" s="5" t="str">
        <f t="shared" si="25"/>
        <v>#DIV/0!</v>
      </c>
      <c r="D65" s="5" t="str">
        <f t="shared" si="26"/>
        <v>#DIV/0!</v>
      </c>
      <c r="E65" s="5" t="str">
        <f t="shared" si="27"/>
        <v>#DIV/0!</v>
      </c>
      <c r="F65" s="5" t="str">
        <f t="shared" si="28"/>
        <v>#DIV/0!</v>
      </c>
      <c r="G65" s="5" t="str">
        <f t="shared" si="29"/>
        <v>#DIV/0!</v>
      </c>
      <c r="H65" s="5" t="str">
        <f t="shared" si="30"/>
        <v>#DIV/0!</v>
      </c>
      <c r="I65" s="5" t="str">
        <f t="shared" si="31"/>
        <v>#DIV/0!</v>
      </c>
      <c r="J65" s="5" t="str">
        <f t="shared" si="32"/>
        <v>#DIV/0!</v>
      </c>
      <c r="K65" s="5" t="str">
        <f t="shared" si="33"/>
        <v>#DIV/0!</v>
      </c>
      <c r="L65" s="5" t="str">
        <f t="shared" si="34"/>
        <v>#DIV/0!</v>
      </c>
      <c r="M65" s="5" t="str">
        <f t="shared" si="35"/>
        <v>#DIV/0!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 t="s">
        <v>17</v>
      </c>
      <c r="B66" s="5" t="str">
        <f t="shared" si="24"/>
        <v>#DIV/0!</v>
      </c>
      <c r="C66" s="5" t="str">
        <f t="shared" si="25"/>
        <v>#DIV/0!</v>
      </c>
      <c r="D66" s="5" t="str">
        <f t="shared" si="26"/>
        <v>#DIV/0!</v>
      </c>
      <c r="E66" s="5" t="str">
        <f t="shared" si="27"/>
        <v>#DIV/0!</v>
      </c>
      <c r="F66" s="5" t="str">
        <f t="shared" si="28"/>
        <v>#DIV/0!</v>
      </c>
      <c r="G66" s="5" t="str">
        <f t="shared" si="29"/>
        <v>#DIV/0!</v>
      </c>
      <c r="H66" s="5" t="str">
        <f t="shared" si="30"/>
        <v>#DIV/0!</v>
      </c>
      <c r="I66" s="5" t="str">
        <f t="shared" si="31"/>
        <v>#DIV/0!</v>
      </c>
      <c r="J66" s="5" t="str">
        <f t="shared" si="32"/>
        <v>#DIV/0!</v>
      </c>
      <c r="K66" s="5" t="str">
        <f t="shared" si="33"/>
        <v>#DIV/0!</v>
      </c>
      <c r="L66" s="5" t="str">
        <f t="shared" si="34"/>
        <v>#DIV/0!</v>
      </c>
      <c r="M66" s="5" t="str">
        <f t="shared" si="35"/>
        <v>#DIV/0!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 t="s">
        <v>20</v>
      </c>
      <c r="B67" s="5" t="str">
        <f t="shared" si="24"/>
        <v>#DIV/0!</v>
      </c>
      <c r="C67" s="5" t="str">
        <f t="shared" si="25"/>
        <v>#DIV/0!</v>
      </c>
      <c r="D67" s="5" t="str">
        <f t="shared" si="26"/>
        <v>#DIV/0!</v>
      </c>
      <c r="E67" s="5" t="str">
        <f t="shared" si="27"/>
        <v>#DIV/0!</v>
      </c>
      <c r="F67" s="5" t="str">
        <f t="shared" si="28"/>
        <v>#DIV/0!</v>
      </c>
      <c r="G67" s="5" t="str">
        <f t="shared" si="29"/>
        <v>#DIV/0!</v>
      </c>
      <c r="H67" s="5" t="str">
        <f t="shared" si="30"/>
        <v>#DIV/0!</v>
      </c>
      <c r="I67" s="5" t="str">
        <f t="shared" si="31"/>
        <v>#DIV/0!</v>
      </c>
      <c r="J67" s="5" t="str">
        <f t="shared" si="32"/>
        <v>#DIV/0!</v>
      </c>
      <c r="K67" s="5" t="str">
        <f t="shared" si="33"/>
        <v>#DIV/0!</v>
      </c>
      <c r="L67" s="5" t="str">
        <f t="shared" si="34"/>
        <v>#DIV/0!</v>
      </c>
      <c r="M67" s="5" t="str">
        <f t="shared" si="35"/>
        <v>#DIV/0!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3" t="s">
        <v>60</v>
      </c>
      <c r="B69" s="5" t="str">
        <f t="shared" ref="B69:M69" si="36">MAX(B64:B67)</f>
        <v>#DIV/0!</v>
      </c>
      <c r="C69" s="5" t="str">
        <f t="shared" si="36"/>
        <v>#DIV/0!</v>
      </c>
      <c r="D69" s="5" t="str">
        <f t="shared" si="36"/>
        <v>#DIV/0!</v>
      </c>
      <c r="E69" s="5" t="str">
        <f t="shared" si="36"/>
        <v>#DIV/0!</v>
      </c>
      <c r="F69" s="5" t="str">
        <f t="shared" si="36"/>
        <v>#DIV/0!</v>
      </c>
      <c r="G69" s="5" t="str">
        <f t="shared" si="36"/>
        <v>#DIV/0!</v>
      </c>
      <c r="H69" s="5" t="str">
        <f t="shared" si="36"/>
        <v>#DIV/0!</v>
      </c>
      <c r="I69" s="5" t="str">
        <f t="shared" si="36"/>
        <v>#DIV/0!</v>
      </c>
      <c r="J69" s="5" t="str">
        <f t="shared" si="36"/>
        <v>#DIV/0!</v>
      </c>
      <c r="K69" s="5" t="str">
        <f t="shared" si="36"/>
        <v>#DIV/0!</v>
      </c>
      <c r="L69" s="5" t="str">
        <f t="shared" si="36"/>
        <v>#DIV/0!</v>
      </c>
      <c r="M69" s="5" t="str">
        <f t="shared" si="36"/>
        <v>#DIV/0!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3" t="s">
        <v>61</v>
      </c>
      <c r="B70" s="5" t="str">
        <f t="shared" ref="B70:M70" si="37">MIN(B64:B67)</f>
        <v>#DIV/0!</v>
      </c>
      <c r="C70" s="5" t="str">
        <f t="shared" si="37"/>
        <v>#DIV/0!</v>
      </c>
      <c r="D70" s="5" t="str">
        <f t="shared" si="37"/>
        <v>#DIV/0!</v>
      </c>
      <c r="E70" s="5" t="str">
        <f t="shared" si="37"/>
        <v>#DIV/0!</v>
      </c>
      <c r="F70" s="5" t="str">
        <f t="shared" si="37"/>
        <v>#DIV/0!</v>
      </c>
      <c r="G70" s="5" t="str">
        <f t="shared" si="37"/>
        <v>#DIV/0!</v>
      </c>
      <c r="H70" s="5" t="str">
        <f t="shared" si="37"/>
        <v>#DIV/0!</v>
      </c>
      <c r="I70" s="5" t="str">
        <f t="shared" si="37"/>
        <v>#DIV/0!</v>
      </c>
      <c r="J70" s="5" t="str">
        <f t="shared" si="37"/>
        <v>#DIV/0!</v>
      </c>
      <c r="K70" s="5" t="str">
        <f t="shared" si="37"/>
        <v>#DIV/0!</v>
      </c>
      <c r="L70" s="5" t="str">
        <f t="shared" si="37"/>
        <v>#DIV/0!</v>
      </c>
      <c r="M70" s="5" t="str">
        <f t="shared" si="37"/>
        <v>#DIV/0!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 t="s">
        <v>62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3" t="s">
        <v>63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1" t="s">
        <v>11</v>
      </c>
      <c r="B74" s="11" t="str">
        <f t="shared" ref="B74:B77" si="38">SQRT(((B64-B$69)^2+(C64-C$69)^2+(D64-D$69)^2)/3)+SQRT(((E64-E$69)^2+(F64-F$69)^2+(G64-G$69)^2)/3)+SQRT(((H64-H$69)^2+(I64-I$69)^2+(J64-J$69)^2)/3)+SQRT(((K64-K$69)^2+(L64-L$69)^2+(M64-M$69)^2)/3)+SQRT(((#REF!-#REF!)^2+(#REF!-#REF!)^2+(#REF!-#REF!)^2)/3)</f>
        <v>#DIV/0!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1" t="s">
        <v>14</v>
      </c>
      <c r="B75" s="11" t="str">
        <f t="shared" si="38"/>
        <v>#DIV/0!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1" t="s">
        <v>17</v>
      </c>
      <c r="B76" s="11" t="str">
        <f t="shared" si="38"/>
        <v>#DIV/0!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1" t="s">
        <v>20</v>
      </c>
      <c r="B77" s="11" t="str">
        <f t="shared" si="38"/>
        <v>#DIV/0!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3" t="s">
        <v>71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1" t="s">
        <v>11</v>
      </c>
      <c r="B80" s="11" t="str">
        <f t="shared" ref="B80:B83" si="39">SQRT(((B64-B$70)^2+(C64-C$70)^2+(D64-D$70)^2)/3)+SQRT(((E64-E$70)^2+(F64-F$70)^2+(G64-G$70)^2)/3)+SQRT(((H64-H$70)^2+(I64-I$70)^2+(J64-J$70)^2)/3)+SQRT(((K64-K$70)^2+(L64-L$70)^2+(M64-M$70)^2)/3)+SQRT(((#REF!-#REF!)^2+(#REF!-#REF!)^2+(#REF!-#REF!)^2)/3)</f>
        <v>#DIV/0!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1" t="s">
        <v>14</v>
      </c>
      <c r="B81" s="11" t="str">
        <f t="shared" si="39"/>
        <v>#DIV/0!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1" t="s">
        <v>17</v>
      </c>
      <c r="B82" s="11" t="str">
        <f t="shared" si="39"/>
        <v>#DIV/0!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1" t="s">
        <v>20</v>
      </c>
      <c r="B83" s="11" t="str">
        <f t="shared" si="39"/>
        <v>#DIV/0!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8" t="s">
        <v>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1" t="s">
        <v>52</v>
      </c>
      <c r="B87" s="41" t="s">
        <v>77</v>
      </c>
      <c r="C87" s="41" t="s">
        <v>58</v>
      </c>
      <c r="D87" s="5"/>
      <c r="E87" s="5"/>
      <c r="F87" s="5"/>
      <c r="G87" s="5"/>
      <c r="H87" s="5"/>
      <c r="I87" s="5"/>
      <c r="J87" s="5"/>
      <c r="K87" s="5"/>
      <c r="L87" s="5"/>
      <c r="M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1" t="s">
        <v>11</v>
      </c>
      <c r="B88" s="11" t="str">
        <f t="shared" ref="B88:B91" si="40">B80/(B80+B74)</f>
        <v>#DIV/0!</v>
      </c>
      <c r="C88" s="11" t="str">
        <f t="shared" ref="C88:C91" si="41">RANK(B88,$B$88:$B$91)</f>
        <v>#DIV/0!</v>
      </c>
      <c r="D88" s="5"/>
      <c r="E88" s="5"/>
      <c r="F88" s="5"/>
      <c r="G88" s="5"/>
      <c r="H88" s="5"/>
      <c r="I88" s="5"/>
      <c r="J88" s="5"/>
      <c r="K88" s="5"/>
      <c r="L88" s="5"/>
      <c r="M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1" t="s">
        <v>14</v>
      </c>
      <c r="B89" s="11" t="str">
        <f t="shared" si="40"/>
        <v>#DIV/0!</v>
      </c>
      <c r="C89" s="11" t="str">
        <f t="shared" si="41"/>
        <v>#DIV/0!</v>
      </c>
      <c r="D89" s="5"/>
      <c r="E89" s="5"/>
      <c r="F89" s="5"/>
      <c r="G89" s="5"/>
      <c r="H89" s="5"/>
      <c r="I89" s="5"/>
      <c r="J89" s="5"/>
      <c r="K89" s="5"/>
      <c r="L89" s="5"/>
      <c r="M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1" t="s">
        <v>17</v>
      </c>
      <c r="B90" s="11" t="str">
        <f t="shared" si="40"/>
        <v>#DIV/0!</v>
      </c>
      <c r="C90" s="11" t="str">
        <f t="shared" si="41"/>
        <v>#DIV/0!</v>
      </c>
      <c r="D90" s="5"/>
      <c r="E90" s="5"/>
      <c r="F90" s="5"/>
      <c r="G90" s="5"/>
      <c r="H90" s="5"/>
      <c r="I90" s="5"/>
      <c r="J90" s="5"/>
      <c r="K90" s="5"/>
      <c r="L90" s="5"/>
      <c r="M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1" t="s">
        <v>20</v>
      </c>
      <c r="B91" s="11" t="str">
        <f t="shared" si="40"/>
        <v>#DIV/0!</v>
      </c>
      <c r="C91" s="11" t="str">
        <f t="shared" si="41"/>
        <v>#DIV/0!</v>
      </c>
      <c r="D91" s="5"/>
      <c r="E91" s="5"/>
      <c r="F91" s="5"/>
      <c r="G91" s="5"/>
      <c r="H91" s="5"/>
      <c r="I91" s="5"/>
      <c r="J91" s="5"/>
      <c r="K91" s="5"/>
      <c r="L91" s="5"/>
      <c r="M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6">
    <mergeCell ref="B12:D12"/>
    <mergeCell ref="E12:G12"/>
    <mergeCell ref="H12:J12"/>
    <mergeCell ref="K12:M12"/>
    <mergeCell ref="E19:G19"/>
    <mergeCell ref="H19:J19"/>
    <mergeCell ref="K19:M19"/>
    <mergeCell ref="H31:J31"/>
    <mergeCell ref="K31:M31"/>
    <mergeCell ref="B19:D19"/>
    <mergeCell ref="B24:D24"/>
    <mergeCell ref="E24:G24"/>
    <mergeCell ref="H24:J24"/>
    <mergeCell ref="K24:M24"/>
    <mergeCell ref="B31:D31"/>
    <mergeCell ref="E31:G31"/>
    <mergeCell ref="B36:D36"/>
    <mergeCell ref="E36:G36"/>
    <mergeCell ref="H36:J36"/>
    <mergeCell ref="K36:M36"/>
    <mergeCell ref="E43:G43"/>
    <mergeCell ref="H43:J43"/>
    <mergeCell ref="K43:M43"/>
    <mergeCell ref="H55:J55"/>
    <mergeCell ref="K55:M55"/>
    <mergeCell ref="B62:D62"/>
    <mergeCell ref="E62:G62"/>
    <mergeCell ref="H62:J62"/>
    <mergeCell ref="K62:M62"/>
    <mergeCell ref="B43:D43"/>
    <mergeCell ref="B49:D49"/>
    <mergeCell ref="E49:G49"/>
    <mergeCell ref="H49:J49"/>
    <mergeCell ref="K49:M49"/>
    <mergeCell ref="B55:D55"/>
    <mergeCell ref="E55:G5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71"/>
    <col customWidth="1" min="3" max="3" width="24.0"/>
    <col customWidth="1" min="4" max="4" width="21.71"/>
    <col customWidth="1" min="5" max="7" width="12.0"/>
    <col customWidth="1" min="8" max="25" width="8.71"/>
  </cols>
  <sheetData>
    <row r="1">
      <c r="A1" s="1" t="s">
        <v>0</v>
      </c>
    </row>
    <row r="2">
      <c r="A2" s="3" t="s">
        <v>2</v>
      </c>
    </row>
    <row r="4">
      <c r="A4" s="4" t="s">
        <v>4</v>
      </c>
      <c r="B4" s="6"/>
      <c r="C4" s="6"/>
      <c r="D4" s="6"/>
    </row>
    <row r="5">
      <c r="A5" s="7"/>
      <c r="B5" s="8" t="s">
        <v>6</v>
      </c>
      <c r="C5" s="8" t="s">
        <v>7</v>
      </c>
      <c r="D5" s="8" t="s">
        <v>8</v>
      </c>
      <c r="E5" s="8" t="s">
        <v>9</v>
      </c>
    </row>
    <row r="6">
      <c r="A6" s="9" t="s">
        <v>6</v>
      </c>
      <c r="B6" s="10">
        <v>1.0</v>
      </c>
      <c r="C6" s="12">
        <v>0.0</v>
      </c>
      <c r="D6" s="12">
        <v>0.0</v>
      </c>
      <c r="E6" s="12">
        <v>0.0</v>
      </c>
    </row>
    <row r="7">
      <c r="A7" s="9" t="s">
        <v>7</v>
      </c>
      <c r="B7" s="10" t="str">
        <f>1/C6</f>
        <v>#DIV/0!</v>
      </c>
      <c r="C7" s="10">
        <v>1.0</v>
      </c>
      <c r="D7" s="12">
        <v>0.0</v>
      </c>
      <c r="E7" s="12">
        <v>0.0</v>
      </c>
    </row>
    <row r="8">
      <c r="A8" s="9" t="s">
        <v>8</v>
      </c>
      <c r="B8" s="7" t="str">
        <f>1/D6</f>
        <v>#DIV/0!</v>
      </c>
      <c r="C8" s="7" t="str">
        <f>1/D7</f>
        <v>#DIV/0!</v>
      </c>
      <c r="D8" s="10">
        <v>1.0</v>
      </c>
      <c r="E8" s="12">
        <v>0.0</v>
      </c>
    </row>
    <row r="9">
      <c r="A9" s="9" t="s">
        <v>9</v>
      </c>
      <c r="B9" s="7" t="str">
        <f>1/E6</f>
        <v>#DIV/0!</v>
      </c>
      <c r="C9" s="7" t="str">
        <f>1/E7</f>
        <v>#DIV/0!</v>
      </c>
      <c r="D9" s="7" t="str">
        <f>1/E8</f>
        <v>#DIV/0!</v>
      </c>
      <c r="E9" s="10">
        <v>1.0</v>
      </c>
    </row>
    <row r="11">
      <c r="A11" s="16" t="s">
        <v>22</v>
      </c>
    </row>
    <row r="12">
      <c r="A12" s="9" t="s">
        <v>6</v>
      </c>
      <c r="B12" s="7">
        <f t="shared" ref="B12:B15" si="1">PRODUCT(B6:E6)^(1/4)</f>
        <v>0</v>
      </c>
    </row>
    <row r="13">
      <c r="A13" s="9" t="s">
        <v>7</v>
      </c>
      <c r="B13" s="7" t="str">
        <f t="shared" si="1"/>
        <v>#DIV/0!</v>
      </c>
    </row>
    <row r="14">
      <c r="A14" s="9" t="s">
        <v>8</v>
      </c>
      <c r="B14" s="7" t="str">
        <f t="shared" si="1"/>
        <v>#DIV/0!</v>
      </c>
    </row>
    <row r="15">
      <c r="A15" s="9" t="s">
        <v>9</v>
      </c>
      <c r="B15" s="7" t="str">
        <f t="shared" si="1"/>
        <v>#DIV/0!</v>
      </c>
    </row>
    <row r="16">
      <c r="A16" s="19" t="s">
        <v>24</v>
      </c>
      <c r="B16" s="7" t="str">
        <f>SUM(B12:B15)</f>
        <v>#DIV/0!</v>
      </c>
    </row>
    <row r="18">
      <c r="A18" s="16" t="s">
        <v>26</v>
      </c>
      <c r="B18" s="6"/>
    </row>
    <row r="19" ht="15.75" customHeight="1">
      <c r="A19" s="21" t="s">
        <v>6</v>
      </c>
      <c r="B19" s="22" t="str">
        <f t="shared" ref="B19:B22" si="2">B12/$B$16</f>
        <v>#DIV/0!</v>
      </c>
    </row>
    <row r="20" ht="15.75" customHeight="1">
      <c r="A20" s="21" t="s">
        <v>7</v>
      </c>
      <c r="B20" s="22" t="str">
        <f t="shared" si="2"/>
        <v>#DIV/0!</v>
      </c>
    </row>
    <row r="21" ht="15.75" customHeight="1">
      <c r="A21" s="21" t="s">
        <v>8</v>
      </c>
      <c r="B21" s="22" t="str">
        <f t="shared" si="2"/>
        <v>#DIV/0!</v>
      </c>
    </row>
    <row r="22" ht="15.75" customHeight="1">
      <c r="A22" s="21" t="s">
        <v>9</v>
      </c>
      <c r="B22" s="22" t="str">
        <f t="shared" si="2"/>
        <v>#DIV/0!</v>
      </c>
    </row>
    <row r="23" ht="15.75" customHeight="1"/>
    <row r="24" ht="15.75" customHeight="1">
      <c r="A24" s="16" t="s">
        <v>27</v>
      </c>
      <c r="B24" s="6"/>
      <c r="C24" s="6"/>
    </row>
    <row r="25" ht="15.75" customHeight="1">
      <c r="A25" s="21" t="s">
        <v>6</v>
      </c>
      <c r="B25" s="22" t="str">
        <f t="shared" ref="B25:B28" si="3">SUMPRODUCT(B6:E6,$B$19:$B$22)</f>
        <v>#DIV/0!</v>
      </c>
    </row>
    <row r="26" ht="15.75" customHeight="1">
      <c r="A26" s="21" t="s">
        <v>7</v>
      </c>
      <c r="B26" s="22" t="str">
        <f t="shared" si="3"/>
        <v>#DIV/0!</v>
      </c>
    </row>
    <row r="27" ht="15.75" customHeight="1">
      <c r="A27" s="21" t="s">
        <v>8</v>
      </c>
      <c r="B27" s="22" t="str">
        <f t="shared" si="3"/>
        <v>#DIV/0!</v>
      </c>
    </row>
    <row r="28" ht="15.75" customHeight="1">
      <c r="A28" s="21" t="s">
        <v>9</v>
      </c>
      <c r="B28" s="22" t="str">
        <f t="shared" si="3"/>
        <v>#DIV/0!</v>
      </c>
    </row>
    <row r="29" ht="15.75" customHeight="1"/>
    <row r="30" ht="15.75" customHeight="1">
      <c r="A30" s="16" t="s">
        <v>28</v>
      </c>
    </row>
    <row r="31" ht="15.75" customHeight="1">
      <c r="A31" s="21" t="s">
        <v>6</v>
      </c>
      <c r="B31" s="22" t="str">
        <f t="shared" ref="B31:B34" si="4">B25/B19</f>
        <v>#DIV/0!</v>
      </c>
    </row>
    <row r="32" ht="15.75" customHeight="1">
      <c r="A32" s="21" t="s">
        <v>7</v>
      </c>
      <c r="B32" s="22" t="str">
        <f t="shared" si="4"/>
        <v>#DIV/0!</v>
      </c>
    </row>
    <row r="33" ht="15.75" customHeight="1">
      <c r="A33" s="21" t="s">
        <v>8</v>
      </c>
      <c r="B33" s="22" t="str">
        <f t="shared" si="4"/>
        <v>#DIV/0!</v>
      </c>
    </row>
    <row r="34" ht="15.75" customHeight="1">
      <c r="A34" s="21" t="s">
        <v>9</v>
      </c>
      <c r="B34" s="22" t="str">
        <f t="shared" si="4"/>
        <v>#DIV/0!</v>
      </c>
    </row>
    <row r="35" ht="15.75" customHeight="1"/>
    <row r="36" ht="15.75" customHeight="1">
      <c r="A36" s="27" t="s">
        <v>30</v>
      </c>
      <c r="B36" s="7" t="str">
        <f>AVERAGE(B31:B34)</f>
        <v>#DIV/0!</v>
      </c>
    </row>
    <row r="37" ht="15.75" customHeight="1">
      <c r="A37" s="27" t="s">
        <v>33</v>
      </c>
      <c r="B37" s="7" t="str">
        <f>(B36-4)/(4-1)</f>
        <v>#DIV/0!</v>
      </c>
    </row>
    <row r="38" ht="15.75" customHeight="1">
      <c r="A38" s="27" t="s">
        <v>34</v>
      </c>
      <c r="B38" s="7">
        <v>1.12</v>
      </c>
    </row>
    <row r="39" ht="15.75" customHeight="1">
      <c r="A39" s="27" t="s">
        <v>35</v>
      </c>
      <c r="B39" s="7" t="str">
        <f>B37/B38</f>
        <v>#DIV/0!</v>
      </c>
    </row>
    <row r="40" ht="15.75" customHeight="1">
      <c r="A40" s="27" t="s">
        <v>36</v>
      </c>
      <c r="B40" s="7" t="str">
        <f>IF(B39&lt;=0.1,"Да","Нет")</f>
        <v>#DIV/0!</v>
      </c>
    </row>
    <row r="41" ht="15.75" customHeight="1"/>
    <row r="42" ht="15.75" customHeight="1">
      <c r="A42" s="4" t="s">
        <v>37</v>
      </c>
      <c r="B42" s="6"/>
      <c r="C42" s="6"/>
      <c r="D42" s="6"/>
    </row>
    <row r="43" ht="15.75" customHeight="1">
      <c r="A43" s="7"/>
      <c r="B43" s="8" t="s">
        <v>11</v>
      </c>
      <c r="C43" s="8" t="s">
        <v>14</v>
      </c>
      <c r="D43" s="8" t="s">
        <v>17</v>
      </c>
      <c r="E43" s="8" t="s">
        <v>20</v>
      </c>
    </row>
    <row r="44" ht="15.75" customHeight="1">
      <c r="A44" s="9" t="s">
        <v>11</v>
      </c>
      <c r="B44" s="10">
        <v>1.0</v>
      </c>
      <c r="C44" s="12">
        <v>0.0</v>
      </c>
      <c r="D44" s="12">
        <v>0.0</v>
      </c>
      <c r="E44" s="12">
        <v>0.0</v>
      </c>
    </row>
    <row r="45" ht="15.75" customHeight="1">
      <c r="A45" s="9" t="s">
        <v>14</v>
      </c>
      <c r="B45" s="10" t="str">
        <f>1/C44</f>
        <v>#DIV/0!</v>
      </c>
      <c r="C45" s="10">
        <v>1.0</v>
      </c>
      <c r="D45" s="12">
        <v>0.0</v>
      </c>
      <c r="E45" s="12">
        <v>0.0</v>
      </c>
    </row>
    <row r="46" ht="15.75" customHeight="1">
      <c r="A46" s="9" t="s">
        <v>17</v>
      </c>
      <c r="B46" s="7" t="str">
        <f>1/D44</f>
        <v>#DIV/0!</v>
      </c>
      <c r="C46" s="7" t="str">
        <f>1/D45</f>
        <v>#DIV/0!</v>
      </c>
      <c r="D46" s="10">
        <v>1.0</v>
      </c>
      <c r="E46" s="12">
        <v>0.0</v>
      </c>
    </row>
    <row r="47" ht="15.75" customHeight="1">
      <c r="A47" s="9" t="s">
        <v>20</v>
      </c>
      <c r="B47" s="7" t="str">
        <f>1/E44</f>
        <v>#DIV/0!</v>
      </c>
      <c r="C47" s="7" t="str">
        <f>1/E45</f>
        <v>#DIV/0!</v>
      </c>
      <c r="D47" s="7" t="str">
        <f>1/E46</f>
        <v>#DIV/0!</v>
      </c>
      <c r="E47" s="10">
        <v>1.0</v>
      </c>
    </row>
    <row r="48" ht="15.75" customHeight="1"/>
    <row r="49" ht="15.75" customHeight="1">
      <c r="A49" s="16" t="s">
        <v>22</v>
      </c>
    </row>
    <row r="50" ht="15.75" customHeight="1">
      <c r="A50" s="9" t="s">
        <v>11</v>
      </c>
      <c r="B50" s="7">
        <f t="shared" ref="B50:B53" si="5">PRODUCT(B44:E44)^(1/4)</f>
        <v>0</v>
      </c>
    </row>
    <row r="51" ht="15.75" customHeight="1">
      <c r="A51" s="9" t="s">
        <v>14</v>
      </c>
      <c r="B51" s="7" t="str">
        <f t="shared" si="5"/>
        <v>#DIV/0!</v>
      </c>
    </row>
    <row r="52" ht="15.75" customHeight="1">
      <c r="A52" s="9" t="s">
        <v>17</v>
      </c>
      <c r="B52" s="7" t="str">
        <f t="shared" si="5"/>
        <v>#DIV/0!</v>
      </c>
    </row>
    <row r="53" ht="15.75" customHeight="1">
      <c r="A53" s="9" t="s">
        <v>20</v>
      </c>
      <c r="B53" s="7" t="str">
        <f t="shared" si="5"/>
        <v>#DIV/0!</v>
      </c>
    </row>
    <row r="54" ht="15.75" customHeight="1">
      <c r="A54" s="27" t="s">
        <v>24</v>
      </c>
      <c r="B54" s="7" t="str">
        <f>SUM(B50:B53)</f>
        <v>#DIV/0!</v>
      </c>
    </row>
    <row r="55" ht="15.75" customHeight="1"/>
    <row r="56" ht="15.75" customHeight="1">
      <c r="A56" s="16" t="s">
        <v>26</v>
      </c>
      <c r="B56" s="6"/>
    </row>
    <row r="57" ht="15.75" customHeight="1">
      <c r="A57" s="9" t="s">
        <v>11</v>
      </c>
      <c r="B57" s="7" t="str">
        <f t="shared" ref="B57:B60" si="6">B50/$B$54</f>
        <v>#DIV/0!</v>
      </c>
    </row>
    <row r="58" ht="15.75" customHeight="1">
      <c r="A58" s="9" t="s">
        <v>14</v>
      </c>
      <c r="B58" s="7" t="str">
        <f t="shared" si="6"/>
        <v>#DIV/0!</v>
      </c>
    </row>
    <row r="59" ht="15.75" customHeight="1">
      <c r="A59" s="9" t="s">
        <v>17</v>
      </c>
      <c r="B59" s="7" t="str">
        <f t="shared" si="6"/>
        <v>#DIV/0!</v>
      </c>
    </row>
    <row r="60" ht="15.75" customHeight="1">
      <c r="A60" s="9" t="s">
        <v>20</v>
      </c>
      <c r="B60" s="7" t="str">
        <f t="shared" si="6"/>
        <v>#DIV/0!</v>
      </c>
    </row>
    <row r="61" ht="15.75" customHeight="1"/>
    <row r="62" ht="15.75" customHeight="1">
      <c r="A62" s="16" t="s">
        <v>27</v>
      </c>
      <c r="B62" s="6"/>
      <c r="C62" s="6"/>
    </row>
    <row r="63" ht="15.75" customHeight="1">
      <c r="A63" s="9" t="s">
        <v>11</v>
      </c>
      <c r="B63" s="7" t="str">
        <f t="shared" ref="B63:B66" si="7">SUMPRODUCT(B44:E44,$B$57:$B$60)</f>
        <v>#DIV/0!</v>
      </c>
    </row>
    <row r="64" ht="15.75" customHeight="1">
      <c r="A64" s="9" t="s">
        <v>14</v>
      </c>
      <c r="B64" s="7" t="str">
        <f t="shared" si="7"/>
        <v>#DIV/0!</v>
      </c>
    </row>
    <row r="65" ht="15.75" customHeight="1">
      <c r="A65" s="9" t="s">
        <v>17</v>
      </c>
      <c r="B65" s="7" t="str">
        <f t="shared" si="7"/>
        <v>#DIV/0!</v>
      </c>
    </row>
    <row r="66" ht="15.75" customHeight="1">
      <c r="A66" s="9" t="s">
        <v>20</v>
      </c>
      <c r="B66" s="7" t="str">
        <f t="shared" si="7"/>
        <v>#DIV/0!</v>
      </c>
    </row>
    <row r="67" ht="15.75" customHeight="1"/>
    <row r="68" ht="15.75" customHeight="1">
      <c r="A68" s="16" t="s">
        <v>28</v>
      </c>
    </row>
    <row r="69" ht="15.75" customHeight="1">
      <c r="A69" s="9" t="s">
        <v>11</v>
      </c>
      <c r="B69" s="7" t="str">
        <f t="shared" ref="B69:B72" si="8">B63/B57</f>
        <v>#DIV/0!</v>
      </c>
    </row>
    <row r="70" ht="15.75" customHeight="1">
      <c r="A70" s="9" t="s">
        <v>14</v>
      </c>
      <c r="B70" s="7" t="str">
        <f t="shared" si="8"/>
        <v>#DIV/0!</v>
      </c>
    </row>
    <row r="71" ht="15.75" customHeight="1">
      <c r="A71" s="9" t="s">
        <v>17</v>
      </c>
      <c r="B71" s="7" t="str">
        <f t="shared" si="8"/>
        <v>#DIV/0!</v>
      </c>
    </row>
    <row r="72" ht="15.75" customHeight="1">
      <c r="A72" s="9" t="s">
        <v>20</v>
      </c>
      <c r="B72" s="7" t="str">
        <f t="shared" si="8"/>
        <v>#DIV/0!</v>
      </c>
    </row>
    <row r="73" ht="15.75" customHeight="1"/>
    <row r="74" ht="15.75" customHeight="1">
      <c r="A74" s="27" t="s">
        <v>30</v>
      </c>
      <c r="B74" s="7" t="str">
        <f>AVERAGE(B69:B72)</f>
        <v>#DIV/0!</v>
      </c>
    </row>
    <row r="75" ht="15.75" customHeight="1">
      <c r="A75" s="27" t="s">
        <v>33</v>
      </c>
      <c r="B75" s="7" t="str">
        <f>(B74-4)/(4-1)</f>
        <v>#DIV/0!</v>
      </c>
    </row>
    <row r="76" ht="15.75" customHeight="1">
      <c r="A76" s="27" t="s">
        <v>34</v>
      </c>
      <c r="B76" s="7">
        <v>0.9</v>
      </c>
    </row>
    <row r="77" ht="15.75" customHeight="1">
      <c r="A77" s="27" t="s">
        <v>35</v>
      </c>
      <c r="B77" s="7" t="str">
        <f>B75/B76</f>
        <v>#DIV/0!</v>
      </c>
    </row>
    <row r="78" ht="15.75" customHeight="1">
      <c r="A78" s="27" t="s">
        <v>36</v>
      </c>
      <c r="B78" s="7" t="str">
        <f>IF(B77&lt;=0.1,"Да","Нет")</f>
        <v>#DIV/0!</v>
      </c>
    </row>
    <row r="79" ht="15.75" customHeight="1"/>
    <row r="80" ht="15.75" customHeight="1">
      <c r="A80" s="4" t="s">
        <v>43</v>
      </c>
      <c r="B80" s="6"/>
      <c r="C80" s="6"/>
    </row>
    <row r="81" ht="15.75" customHeight="1">
      <c r="A81" s="7"/>
      <c r="B81" s="8" t="s">
        <v>11</v>
      </c>
      <c r="C81" s="8" t="s">
        <v>14</v>
      </c>
      <c r="D81" s="8" t="s">
        <v>17</v>
      </c>
      <c r="E81" s="8" t="s">
        <v>20</v>
      </c>
    </row>
    <row r="82" ht="15.75" customHeight="1">
      <c r="A82" s="9" t="s">
        <v>11</v>
      </c>
      <c r="B82" s="10">
        <v>1.0</v>
      </c>
      <c r="C82" s="12">
        <v>0.0</v>
      </c>
      <c r="D82" s="12">
        <v>0.0</v>
      </c>
      <c r="E82" s="12">
        <v>0.0</v>
      </c>
    </row>
    <row r="83" ht="15.75" customHeight="1">
      <c r="A83" s="9" t="s">
        <v>14</v>
      </c>
      <c r="B83" s="10" t="str">
        <f>1/C82</f>
        <v>#DIV/0!</v>
      </c>
      <c r="C83" s="10">
        <v>1.0</v>
      </c>
      <c r="D83" s="12">
        <v>0.0</v>
      </c>
      <c r="E83" s="12">
        <v>0.0</v>
      </c>
    </row>
    <row r="84" ht="15.75" customHeight="1">
      <c r="A84" s="9" t="s">
        <v>17</v>
      </c>
      <c r="B84" s="7" t="str">
        <f>1/D82</f>
        <v>#DIV/0!</v>
      </c>
      <c r="C84" s="7" t="str">
        <f>1/D83</f>
        <v>#DIV/0!</v>
      </c>
      <c r="D84" s="10">
        <v>1.0</v>
      </c>
      <c r="E84" s="12">
        <v>0.0</v>
      </c>
    </row>
    <row r="85" ht="15.75" customHeight="1">
      <c r="A85" s="9" t="s">
        <v>20</v>
      </c>
      <c r="B85" s="7" t="str">
        <f>1/E82</f>
        <v>#DIV/0!</v>
      </c>
      <c r="C85" s="7" t="str">
        <f>1/E83</f>
        <v>#DIV/0!</v>
      </c>
      <c r="D85" s="7" t="str">
        <f>1/E84</f>
        <v>#DIV/0!</v>
      </c>
      <c r="E85" s="10">
        <v>1.0</v>
      </c>
    </row>
    <row r="86" ht="15.75" customHeight="1"/>
    <row r="87" ht="15.75" customHeight="1">
      <c r="A87" s="16" t="s">
        <v>22</v>
      </c>
    </row>
    <row r="88" ht="15.75" customHeight="1">
      <c r="A88" s="9" t="s">
        <v>11</v>
      </c>
      <c r="B88" s="7">
        <f t="shared" ref="B88:B91" si="9">PRODUCT(B82:E82)^(1/4)</f>
        <v>0</v>
      </c>
    </row>
    <row r="89" ht="15.75" customHeight="1">
      <c r="A89" s="9" t="s">
        <v>14</v>
      </c>
      <c r="B89" s="7" t="str">
        <f t="shared" si="9"/>
        <v>#DIV/0!</v>
      </c>
    </row>
    <row r="90" ht="15.75" customHeight="1">
      <c r="A90" s="9" t="s">
        <v>17</v>
      </c>
      <c r="B90" s="7" t="str">
        <f t="shared" si="9"/>
        <v>#DIV/0!</v>
      </c>
    </row>
    <row r="91" ht="15.75" customHeight="1">
      <c r="A91" s="9" t="s">
        <v>20</v>
      </c>
      <c r="B91" s="7" t="str">
        <f t="shared" si="9"/>
        <v>#DIV/0!</v>
      </c>
    </row>
    <row r="92" ht="15.75" customHeight="1">
      <c r="A92" s="27" t="s">
        <v>24</v>
      </c>
      <c r="B92" s="7" t="str">
        <f>SUM(B88:B91)</f>
        <v>#DIV/0!</v>
      </c>
    </row>
    <row r="93" ht="15.75" customHeight="1"/>
    <row r="94" ht="15.75" customHeight="1">
      <c r="A94" s="16" t="s">
        <v>26</v>
      </c>
      <c r="B94" s="6"/>
    </row>
    <row r="95" ht="15.75" customHeight="1">
      <c r="A95" s="9" t="s">
        <v>11</v>
      </c>
      <c r="B95" s="7" t="str">
        <f t="shared" ref="B95:B98" si="10">B88/$B$92</f>
        <v>#DIV/0!</v>
      </c>
    </row>
    <row r="96" ht="15.75" customHeight="1">
      <c r="A96" s="9" t="s">
        <v>14</v>
      </c>
      <c r="B96" s="7" t="str">
        <f t="shared" si="10"/>
        <v>#DIV/0!</v>
      </c>
    </row>
    <row r="97" ht="15.75" customHeight="1">
      <c r="A97" s="9" t="s">
        <v>17</v>
      </c>
      <c r="B97" s="7" t="str">
        <f t="shared" si="10"/>
        <v>#DIV/0!</v>
      </c>
    </row>
    <row r="98" ht="15.75" customHeight="1">
      <c r="A98" s="9" t="s">
        <v>20</v>
      </c>
      <c r="B98" s="7" t="str">
        <f t="shared" si="10"/>
        <v>#DIV/0!</v>
      </c>
    </row>
    <row r="99" ht="15.75" customHeight="1"/>
    <row r="100" ht="15.75" customHeight="1">
      <c r="A100" s="16" t="s">
        <v>27</v>
      </c>
      <c r="B100" s="6"/>
      <c r="C100" s="6"/>
    </row>
    <row r="101" ht="15.75" customHeight="1">
      <c r="A101" s="9" t="s">
        <v>11</v>
      </c>
      <c r="B101" s="7" t="str">
        <f t="shared" ref="B101:B104" si="11">SUMPRODUCT(B82:E82,$B$95:$B$98)</f>
        <v>#DIV/0!</v>
      </c>
    </row>
    <row r="102" ht="15.75" customHeight="1">
      <c r="A102" s="9" t="s">
        <v>14</v>
      </c>
      <c r="B102" s="7" t="str">
        <f t="shared" si="11"/>
        <v>#DIV/0!</v>
      </c>
    </row>
    <row r="103" ht="15.75" customHeight="1">
      <c r="A103" s="9" t="s">
        <v>17</v>
      </c>
      <c r="B103" s="7" t="str">
        <f t="shared" si="11"/>
        <v>#DIV/0!</v>
      </c>
    </row>
    <row r="104" ht="15.75" customHeight="1">
      <c r="A104" s="9" t="s">
        <v>20</v>
      </c>
      <c r="B104" s="7" t="str">
        <f t="shared" si="11"/>
        <v>#DIV/0!</v>
      </c>
    </row>
    <row r="105" ht="15.75" customHeight="1"/>
    <row r="106" ht="15.75" customHeight="1">
      <c r="A106" s="16" t="s">
        <v>28</v>
      </c>
    </row>
    <row r="107" ht="15.75" customHeight="1">
      <c r="A107" s="9" t="s">
        <v>11</v>
      </c>
      <c r="B107" s="7" t="str">
        <f t="shared" ref="B107:B110" si="12">B101/B95</f>
        <v>#DIV/0!</v>
      </c>
    </row>
    <row r="108" ht="15.75" customHeight="1">
      <c r="A108" s="9" t="s">
        <v>14</v>
      </c>
      <c r="B108" s="7" t="str">
        <f t="shared" si="12"/>
        <v>#DIV/0!</v>
      </c>
    </row>
    <row r="109" ht="15.75" customHeight="1">
      <c r="A109" s="9" t="s">
        <v>17</v>
      </c>
      <c r="B109" s="7" t="str">
        <f t="shared" si="12"/>
        <v>#DIV/0!</v>
      </c>
    </row>
    <row r="110" ht="15.75" customHeight="1">
      <c r="A110" s="9" t="s">
        <v>20</v>
      </c>
      <c r="B110" s="7" t="str">
        <f t="shared" si="12"/>
        <v>#DIV/0!</v>
      </c>
    </row>
    <row r="111" ht="15.75" customHeight="1"/>
    <row r="112" ht="15.75" customHeight="1">
      <c r="A112" s="27" t="s">
        <v>30</v>
      </c>
      <c r="B112" s="7" t="str">
        <f>AVERAGE(B107:B110)</f>
        <v>#DIV/0!</v>
      </c>
    </row>
    <row r="113" ht="15.75" customHeight="1">
      <c r="A113" s="27" t="s">
        <v>33</v>
      </c>
      <c r="B113" s="7" t="str">
        <f>(B112-4)/(4-1)</f>
        <v>#DIV/0!</v>
      </c>
    </row>
    <row r="114" ht="15.75" customHeight="1">
      <c r="A114" s="27" t="s">
        <v>34</v>
      </c>
      <c r="B114" s="7">
        <v>0.9</v>
      </c>
    </row>
    <row r="115" ht="15.75" customHeight="1">
      <c r="A115" s="27" t="s">
        <v>35</v>
      </c>
      <c r="B115" s="7" t="str">
        <f>B113/B114</f>
        <v>#DIV/0!</v>
      </c>
    </row>
    <row r="116" ht="15.75" customHeight="1">
      <c r="A116" s="27" t="s">
        <v>36</v>
      </c>
      <c r="B116" s="7" t="str">
        <f>IF(B115&lt;=0.1,"Да","Нет")</f>
        <v>#DIV/0!</v>
      </c>
    </row>
    <row r="117" ht="15.75" customHeight="1"/>
    <row r="118" ht="15.75" customHeight="1">
      <c r="A118" s="4" t="s">
        <v>48</v>
      </c>
      <c r="B118" s="6"/>
      <c r="C118" s="6"/>
    </row>
    <row r="119" ht="15.75" customHeight="1">
      <c r="A119" s="7"/>
      <c r="B119" s="8" t="s">
        <v>11</v>
      </c>
      <c r="C119" s="8" t="s">
        <v>14</v>
      </c>
      <c r="D119" s="8" t="s">
        <v>17</v>
      </c>
      <c r="E119" s="8" t="s">
        <v>20</v>
      </c>
    </row>
    <row r="120" ht="15.75" customHeight="1">
      <c r="A120" s="9" t="s">
        <v>11</v>
      </c>
      <c r="B120" s="10">
        <v>1.0</v>
      </c>
      <c r="C120" s="12">
        <v>0.0</v>
      </c>
      <c r="D120" s="12">
        <v>0.0</v>
      </c>
      <c r="E120" s="12">
        <v>0.0</v>
      </c>
    </row>
    <row r="121" ht="15.75" customHeight="1">
      <c r="A121" s="9" t="s">
        <v>14</v>
      </c>
      <c r="B121" s="10" t="str">
        <f>1/C120</f>
        <v>#DIV/0!</v>
      </c>
      <c r="C121" s="10">
        <v>1.0</v>
      </c>
      <c r="D121" s="12">
        <v>0.0</v>
      </c>
      <c r="E121" s="12">
        <v>0.0</v>
      </c>
    </row>
    <row r="122" ht="15.75" customHeight="1">
      <c r="A122" s="9" t="s">
        <v>17</v>
      </c>
      <c r="B122" s="7" t="str">
        <f>1/D120</f>
        <v>#DIV/0!</v>
      </c>
      <c r="C122" s="7" t="str">
        <f>1/D121</f>
        <v>#DIV/0!</v>
      </c>
      <c r="D122" s="10">
        <v>1.0</v>
      </c>
      <c r="E122" s="12">
        <v>0.0</v>
      </c>
    </row>
    <row r="123" ht="15.75" customHeight="1">
      <c r="A123" s="9" t="s">
        <v>20</v>
      </c>
      <c r="B123" s="7" t="str">
        <f>1/E120</f>
        <v>#DIV/0!</v>
      </c>
      <c r="C123" s="7" t="str">
        <f>1/E121</f>
        <v>#DIV/0!</v>
      </c>
      <c r="D123" s="7" t="str">
        <f>1/E122</f>
        <v>#DIV/0!</v>
      </c>
      <c r="E123" s="10">
        <v>1.0</v>
      </c>
    </row>
    <row r="124" ht="15.75" customHeight="1"/>
    <row r="125" ht="15.75" customHeight="1">
      <c r="A125" s="16" t="s">
        <v>22</v>
      </c>
    </row>
    <row r="126" ht="15.75" customHeight="1">
      <c r="A126" s="9" t="s">
        <v>11</v>
      </c>
      <c r="B126" s="7">
        <f t="shared" ref="B126:B129" si="13">PRODUCT(B120:E120)^(1/4)</f>
        <v>0</v>
      </c>
    </row>
    <row r="127" ht="15.75" customHeight="1">
      <c r="A127" s="9" t="s">
        <v>14</v>
      </c>
      <c r="B127" s="7" t="str">
        <f t="shared" si="13"/>
        <v>#DIV/0!</v>
      </c>
    </row>
    <row r="128" ht="15.75" customHeight="1">
      <c r="A128" s="9" t="s">
        <v>17</v>
      </c>
      <c r="B128" s="7" t="str">
        <f t="shared" si="13"/>
        <v>#DIV/0!</v>
      </c>
    </row>
    <row r="129" ht="15.75" customHeight="1">
      <c r="A129" s="9" t="s">
        <v>20</v>
      </c>
      <c r="B129" s="7" t="str">
        <f t="shared" si="13"/>
        <v>#DIV/0!</v>
      </c>
    </row>
    <row r="130" ht="15.75" customHeight="1">
      <c r="A130" s="27" t="s">
        <v>24</v>
      </c>
      <c r="B130" s="7" t="str">
        <f>SUM(B126:B129)</f>
        <v>#DIV/0!</v>
      </c>
    </row>
    <row r="131" ht="15.75" customHeight="1"/>
    <row r="132" ht="15.75" customHeight="1">
      <c r="A132" s="16" t="s">
        <v>26</v>
      </c>
      <c r="B132" s="6"/>
    </row>
    <row r="133" ht="15.75" customHeight="1">
      <c r="A133" s="9" t="s">
        <v>11</v>
      </c>
      <c r="B133" s="7" t="str">
        <f t="shared" ref="B133:B136" si="14">B126/$B$130</f>
        <v>#DIV/0!</v>
      </c>
    </row>
    <row r="134" ht="15.75" customHeight="1">
      <c r="A134" s="9" t="s">
        <v>14</v>
      </c>
      <c r="B134" s="7" t="str">
        <f t="shared" si="14"/>
        <v>#DIV/0!</v>
      </c>
    </row>
    <row r="135" ht="15.75" customHeight="1">
      <c r="A135" s="9" t="s">
        <v>17</v>
      </c>
      <c r="B135" s="7" t="str">
        <f t="shared" si="14"/>
        <v>#DIV/0!</v>
      </c>
    </row>
    <row r="136" ht="15.75" customHeight="1">
      <c r="A136" s="9" t="s">
        <v>20</v>
      </c>
      <c r="B136" s="7" t="str">
        <f t="shared" si="14"/>
        <v>#DIV/0!</v>
      </c>
    </row>
    <row r="137" ht="15.75" customHeight="1"/>
    <row r="138" ht="15.75" customHeight="1">
      <c r="A138" s="16" t="s">
        <v>27</v>
      </c>
      <c r="B138" s="6"/>
      <c r="C138" s="6"/>
    </row>
    <row r="139" ht="15.75" customHeight="1">
      <c r="A139" s="9" t="s">
        <v>11</v>
      </c>
      <c r="B139" s="7" t="str">
        <f t="shared" ref="B139:B142" si="15">SUMPRODUCT(B120:E120,$B$133:$B$136)</f>
        <v>#DIV/0!</v>
      </c>
    </row>
    <row r="140" ht="15.75" customHeight="1">
      <c r="A140" s="9" t="s">
        <v>14</v>
      </c>
      <c r="B140" s="7" t="str">
        <f t="shared" si="15"/>
        <v>#DIV/0!</v>
      </c>
    </row>
    <row r="141" ht="15.75" customHeight="1">
      <c r="A141" s="9" t="s">
        <v>17</v>
      </c>
      <c r="B141" s="7" t="str">
        <f t="shared" si="15"/>
        <v>#DIV/0!</v>
      </c>
    </row>
    <row r="142" ht="15.75" customHeight="1">
      <c r="A142" s="9" t="s">
        <v>20</v>
      </c>
      <c r="B142" s="7" t="str">
        <f t="shared" si="15"/>
        <v>#DIV/0!</v>
      </c>
    </row>
    <row r="143" ht="15.75" customHeight="1"/>
    <row r="144" ht="15.75" customHeight="1">
      <c r="A144" s="16" t="s">
        <v>28</v>
      </c>
    </row>
    <row r="145" ht="15.75" customHeight="1">
      <c r="A145" s="9" t="s">
        <v>11</v>
      </c>
      <c r="B145" s="7" t="str">
        <f t="shared" ref="B145:B148" si="16">B139/B133</f>
        <v>#DIV/0!</v>
      </c>
    </row>
    <row r="146" ht="15.75" customHeight="1">
      <c r="A146" s="9" t="s">
        <v>14</v>
      </c>
      <c r="B146" s="7" t="str">
        <f t="shared" si="16"/>
        <v>#DIV/0!</v>
      </c>
    </row>
    <row r="147" ht="15.75" customHeight="1">
      <c r="A147" s="9" t="s">
        <v>17</v>
      </c>
      <c r="B147" s="7" t="str">
        <f t="shared" si="16"/>
        <v>#DIV/0!</v>
      </c>
    </row>
    <row r="148" ht="15.75" customHeight="1">
      <c r="A148" s="9" t="s">
        <v>20</v>
      </c>
      <c r="B148" s="7" t="str">
        <f t="shared" si="16"/>
        <v>#DIV/0!</v>
      </c>
    </row>
    <row r="149" ht="15.75" customHeight="1"/>
    <row r="150" ht="15.75" customHeight="1">
      <c r="A150" s="27" t="s">
        <v>30</v>
      </c>
      <c r="B150" s="7" t="str">
        <f>AVERAGE(B145:B148)</f>
        <v>#DIV/0!</v>
      </c>
    </row>
    <row r="151" ht="15.75" customHeight="1">
      <c r="A151" s="27" t="s">
        <v>33</v>
      </c>
      <c r="B151" s="7" t="str">
        <f>(B150-4)/(4-1)</f>
        <v>#DIV/0!</v>
      </c>
    </row>
    <row r="152" ht="15.75" customHeight="1">
      <c r="A152" s="27" t="s">
        <v>34</v>
      </c>
      <c r="B152" s="7">
        <v>0.9</v>
      </c>
    </row>
    <row r="153" ht="15.75" customHeight="1">
      <c r="A153" s="27" t="s">
        <v>35</v>
      </c>
      <c r="B153" s="7" t="str">
        <f>B151/B152</f>
        <v>#DIV/0!</v>
      </c>
    </row>
    <row r="154" ht="15.75" customHeight="1">
      <c r="A154" s="27" t="s">
        <v>36</v>
      </c>
      <c r="B154" s="7" t="str">
        <f>IF(B153&lt;=0.1,"Да","Нет")</f>
        <v>#DIV/0!</v>
      </c>
    </row>
    <row r="155" ht="15.75" customHeight="1"/>
    <row r="156" ht="15.75" customHeight="1">
      <c r="A156" s="4" t="s">
        <v>50</v>
      </c>
      <c r="B156" s="6"/>
      <c r="C156" s="6"/>
    </row>
    <row r="157" ht="15.75" customHeight="1">
      <c r="A157" s="7"/>
      <c r="B157" s="8" t="s">
        <v>11</v>
      </c>
      <c r="C157" s="8" t="s">
        <v>14</v>
      </c>
      <c r="D157" s="8" t="s">
        <v>17</v>
      </c>
      <c r="E157" s="8" t="s">
        <v>20</v>
      </c>
    </row>
    <row r="158" ht="15.75" customHeight="1">
      <c r="A158" s="9" t="s">
        <v>11</v>
      </c>
      <c r="B158" s="10">
        <v>1.0</v>
      </c>
      <c r="C158" s="12">
        <v>0.0</v>
      </c>
      <c r="D158" s="12">
        <v>0.0</v>
      </c>
      <c r="E158" s="12">
        <v>0.0</v>
      </c>
    </row>
    <row r="159" ht="15.75" customHeight="1">
      <c r="A159" s="9" t="s">
        <v>14</v>
      </c>
      <c r="B159" s="10" t="str">
        <f>1/C158</f>
        <v>#DIV/0!</v>
      </c>
      <c r="C159" s="10">
        <v>1.0</v>
      </c>
      <c r="D159" s="12">
        <v>0.0</v>
      </c>
      <c r="E159" s="12">
        <v>0.0</v>
      </c>
    </row>
    <row r="160" ht="15.75" customHeight="1">
      <c r="A160" s="9" t="s">
        <v>17</v>
      </c>
      <c r="B160" s="7" t="str">
        <f>1/D158</f>
        <v>#DIV/0!</v>
      </c>
      <c r="C160" s="7" t="str">
        <f>1/D159</f>
        <v>#DIV/0!</v>
      </c>
      <c r="D160" s="10">
        <v>1.0</v>
      </c>
      <c r="E160" s="12">
        <v>0.0</v>
      </c>
    </row>
    <row r="161" ht="15.75" customHeight="1">
      <c r="A161" s="9" t="s">
        <v>20</v>
      </c>
      <c r="B161" s="7" t="str">
        <f>1/E158</f>
        <v>#DIV/0!</v>
      </c>
      <c r="C161" s="7" t="str">
        <f>1/E159</f>
        <v>#DIV/0!</v>
      </c>
      <c r="D161" s="7" t="str">
        <f>1/E160</f>
        <v>#DIV/0!</v>
      </c>
      <c r="E161" s="10">
        <v>1.0</v>
      </c>
    </row>
    <row r="162" ht="15.75" customHeight="1"/>
    <row r="163" ht="15.75" customHeight="1">
      <c r="A163" s="16" t="s">
        <v>22</v>
      </c>
    </row>
    <row r="164" ht="15.75" customHeight="1">
      <c r="A164" s="9" t="s">
        <v>11</v>
      </c>
      <c r="B164" s="7">
        <f t="shared" ref="B164:B167" si="17">PRODUCT(B158:E158)^(1/4)</f>
        <v>0</v>
      </c>
    </row>
    <row r="165" ht="15.75" customHeight="1">
      <c r="A165" s="9" t="s">
        <v>14</v>
      </c>
      <c r="B165" s="7" t="str">
        <f t="shared" si="17"/>
        <v>#DIV/0!</v>
      </c>
    </row>
    <row r="166" ht="15.75" customHeight="1">
      <c r="A166" s="9" t="s">
        <v>17</v>
      </c>
      <c r="B166" s="7" t="str">
        <f t="shared" si="17"/>
        <v>#DIV/0!</v>
      </c>
    </row>
    <row r="167" ht="15.75" customHeight="1">
      <c r="A167" s="9" t="s">
        <v>20</v>
      </c>
      <c r="B167" s="7" t="str">
        <f t="shared" si="17"/>
        <v>#DIV/0!</v>
      </c>
    </row>
    <row r="168" ht="15.75" customHeight="1">
      <c r="A168" s="27" t="s">
        <v>24</v>
      </c>
      <c r="B168" s="7" t="str">
        <f>SUM(B164:B167)</f>
        <v>#DIV/0!</v>
      </c>
    </row>
    <row r="169" ht="15.75" customHeight="1"/>
    <row r="170" ht="15.75" customHeight="1">
      <c r="A170" s="16" t="s">
        <v>26</v>
      </c>
      <c r="B170" s="6"/>
    </row>
    <row r="171" ht="15.75" customHeight="1">
      <c r="A171" s="9" t="s">
        <v>11</v>
      </c>
      <c r="B171" s="7" t="str">
        <f t="shared" ref="B171:B174" si="18">B164/$B$168</f>
        <v>#DIV/0!</v>
      </c>
    </row>
    <row r="172" ht="15.75" customHeight="1">
      <c r="A172" s="9" t="s">
        <v>14</v>
      </c>
      <c r="B172" s="7" t="str">
        <f t="shared" si="18"/>
        <v>#DIV/0!</v>
      </c>
    </row>
    <row r="173" ht="15.75" customHeight="1">
      <c r="A173" s="9" t="s">
        <v>17</v>
      </c>
      <c r="B173" s="7" t="str">
        <f t="shared" si="18"/>
        <v>#DIV/0!</v>
      </c>
    </row>
    <row r="174" ht="15.75" customHeight="1">
      <c r="A174" s="9" t="s">
        <v>20</v>
      </c>
      <c r="B174" s="7" t="str">
        <f t="shared" si="18"/>
        <v>#DIV/0!</v>
      </c>
    </row>
    <row r="175" ht="15.75" customHeight="1"/>
    <row r="176" ht="15.75" customHeight="1">
      <c r="A176" s="16" t="s">
        <v>27</v>
      </c>
      <c r="B176" s="6"/>
      <c r="C176" s="6"/>
    </row>
    <row r="177" ht="15.75" customHeight="1">
      <c r="A177" s="9" t="s">
        <v>11</v>
      </c>
      <c r="B177" s="7" t="str">
        <f t="shared" ref="B177:B180" si="19">SUMPRODUCT(B158:E158,$B$171:$B$174)</f>
        <v>#DIV/0!</v>
      </c>
    </row>
    <row r="178" ht="15.75" customHeight="1">
      <c r="A178" s="9" t="s">
        <v>14</v>
      </c>
      <c r="B178" s="7" t="str">
        <f t="shared" si="19"/>
        <v>#DIV/0!</v>
      </c>
    </row>
    <row r="179" ht="15.75" customHeight="1">
      <c r="A179" s="9" t="s">
        <v>17</v>
      </c>
      <c r="B179" s="7" t="str">
        <f t="shared" si="19"/>
        <v>#DIV/0!</v>
      </c>
    </row>
    <row r="180" ht="15.75" customHeight="1">
      <c r="A180" s="9" t="s">
        <v>20</v>
      </c>
      <c r="B180" s="7" t="str">
        <f t="shared" si="19"/>
        <v>#DIV/0!</v>
      </c>
    </row>
    <row r="181" ht="15.75" customHeight="1"/>
    <row r="182" ht="15.75" customHeight="1">
      <c r="A182" s="16" t="s">
        <v>28</v>
      </c>
    </row>
    <row r="183" ht="15.75" customHeight="1">
      <c r="A183" s="9" t="s">
        <v>11</v>
      </c>
      <c r="B183" s="7" t="str">
        <f t="shared" ref="B183:B186" si="20">B177/B171</f>
        <v>#DIV/0!</v>
      </c>
    </row>
    <row r="184" ht="15.75" customHeight="1">
      <c r="A184" s="9" t="s">
        <v>14</v>
      </c>
      <c r="B184" s="7" t="str">
        <f t="shared" si="20"/>
        <v>#DIV/0!</v>
      </c>
    </row>
    <row r="185" ht="15.75" customHeight="1">
      <c r="A185" s="9" t="s">
        <v>17</v>
      </c>
      <c r="B185" s="7" t="str">
        <f t="shared" si="20"/>
        <v>#DIV/0!</v>
      </c>
    </row>
    <row r="186" ht="15.75" customHeight="1">
      <c r="A186" s="9" t="s">
        <v>20</v>
      </c>
      <c r="B186" s="7" t="str">
        <f t="shared" si="20"/>
        <v>#DIV/0!</v>
      </c>
    </row>
    <row r="187" ht="15.75" customHeight="1"/>
    <row r="188" ht="15.75" customHeight="1">
      <c r="A188" s="27" t="s">
        <v>30</v>
      </c>
      <c r="B188" s="7" t="str">
        <f>AVERAGE(B183:B186)</f>
        <v>#DIV/0!</v>
      </c>
    </row>
    <row r="189" ht="15.75" customHeight="1">
      <c r="A189" s="27" t="s">
        <v>33</v>
      </c>
      <c r="B189" s="7" t="str">
        <f>(B188-4)/(4-1)</f>
        <v>#DIV/0!</v>
      </c>
    </row>
    <row r="190" ht="15.75" customHeight="1">
      <c r="A190" s="27" t="s">
        <v>34</v>
      </c>
      <c r="B190" s="7">
        <v>0.9</v>
      </c>
    </row>
    <row r="191" ht="15.75" customHeight="1">
      <c r="A191" s="27" t="s">
        <v>35</v>
      </c>
      <c r="B191" s="7" t="str">
        <f>B189/B190</f>
        <v>#DIV/0!</v>
      </c>
    </row>
    <row r="192" ht="15.75" customHeight="1">
      <c r="A192" s="27" t="s">
        <v>36</v>
      </c>
      <c r="B192" s="7" t="str">
        <f>IF(B191&lt;=0.1,"Да","Нет")</f>
        <v>#DIV/0!</v>
      </c>
    </row>
    <row r="193" ht="15.75" customHeight="1"/>
    <row r="194" ht="15.75" customHeight="1">
      <c r="A194" s="34"/>
    </row>
    <row r="195" ht="15.75" customHeight="1">
      <c r="A195" s="35" t="s">
        <v>51</v>
      </c>
      <c r="B195" s="6"/>
      <c r="C195" s="6"/>
    </row>
    <row r="196" ht="15.75" customHeight="1">
      <c r="A196" s="36" t="s">
        <v>52</v>
      </c>
      <c r="B196" s="36" t="s">
        <v>53</v>
      </c>
      <c r="C196" s="36" t="s">
        <v>54</v>
      </c>
      <c r="D196" s="36" t="s">
        <v>55</v>
      </c>
      <c r="E196" s="36" t="s">
        <v>56</v>
      </c>
      <c r="F196" s="36" t="s">
        <v>57</v>
      </c>
      <c r="G196" s="36" t="s">
        <v>58</v>
      </c>
    </row>
    <row r="197" ht="15.75" customHeight="1">
      <c r="A197" s="9" t="s">
        <v>11</v>
      </c>
      <c r="B197" s="7" t="str">
        <f t="shared" ref="B197:B200" si="21">B57</f>
        <v>#DIV/0!</v>
      </c>
      <c r="C197" s="7" t="str">
        <f t="shared" ref="C197:C200" si="22">B95</f>
        <v>#DIV/0!</v>
      </c>
      <c r="D197" s="7" t="str">
        <f t="shared" ref="D197:D200" si="23">B133</f>
        <v>#DIV/0!</v>
      </c>
      <c r="E197" s="7" t="str">
        <f t="shared" ref="E197:E200" si="24">B171</f>
        <v>#DIV/0!</v>
      </c>
      <c r="F197" s="7" t="str">
        <f t="shared" ref="F197:F200" si="25">$B$19*B197+$B$20*C197+$B$21*D197+$B$22*E197</f>
        <v>#DIV/0!</v>
      </c>
      <c r="G197" s="7" t="str">
        <f t="shared" ref="G197:G200" si="26">RANK(F197,$F$197:$F$200)</f>
        <v>#DIV/0!</v>
      </c>
    </row>
    <row r="198" ht="15.75" customHeight="1">
      <c r="A198" s="9" t="s">
        <v>14</v>
      </c>
      <c r="B198" s="7" t="str">
        <f t="shared" si="21"/>
        <v>#DIV/0!</v>
      </c>
      <c r="C198" s="7" t="str">
        <f t="shared" si="22"/>
        <v>#DIV/0!</v>
      </c>
      <c r="D198" s="7" t="str">
        <f t="shared" si="23"/>
        <v>#DIV/0!</v>
      </c>
      <c r="E198" s="7" t="str">
        <f t="shared" si="24"/>
        <v>#DIV/0!</v>
      </c>
      <c r="F198" s="7" t="str">
        <f t="shared" si="25"/>
        <v>#DIV/0!</v>
      </c>
      <c r="G198" s="7" t="str">
        <f t="shared" si="26"/>
        <v>#DIV/0!</v>
      </c>
    </row>
    <row r="199" ht="15.75" customHeight="1">
      <c r="A199" s="9" t="s">
        <v>17</v>
      </c>
      <c r="B199" s="7" t="str">
        <f t="shared" si="21"/>
        <v>#DIV/0!</v>
      </c>
      <c r="C199" s="7" t="str">
        <f t="shared" si="22"/>
        <v>#DIV/0!</v>
      </c>
      <c r="D199" s="7" t="str">
        <f t="shared" si="23"/>
        <v>#DIV/0!</v>
      </c>
      <c r="E199" s="7" t="str">
        <f t="shared" si="24"/>
        <v>#DIV/0!</v>
      </c>
      <c r="F199" s="7" t="str">
        <f t="shared" si="25"/>
        <v>#DIV/0!</v>
      </c>
      <c r="G199" s="7" t="str">
        <f t="shared" si="26"/>
        <v>#DIV/0!</v>
      </c>
    </row>
    <row r="200" ht="15.75" customHeight="1">
      <c r="A200" s="9" t="s">
        <v>20</v>
      </c>
      <c r="B200" s="7" t="str">
        <f t="shared" si="21"/>
        <v>#DIV/0!</v>
      </c>
      <c r="C200" s="7" t="str">
        <f t="shared" si="22"/>
        <v>#DIV/0!</v>
      </c>
      <c r="D200" s="7" t="str">
        <f t="shared" si="23"/>
        <v>#DIV/0!</v>
      </c>
      <c r="E200" s="7" t="str">
        <f t="shared" si="24"/>
        <v>#DIV/0!</v>
      </c>
      <c r="F200" s="7" t="str">
        <f t="shared" si="25"/>
        <v>#DIV/0!</v>
      </c>
      <c r="G200" s="7" t="str">
        <f t="shared" si="26"/>
        <v>#DIV/0!</v>
      </c>
    </row>
    <row r="201" ht="15.75" customHeight="1">
      <c r="A201" s="3"/>
    </row>
    <row r="202" ht="15.75" customHeight="1"/>
    <row r="203" ht="15.75" customHeight="1"/>
    <row r="204" ht="15.75" customHeight="1"/>
    <row r="205" ht="15.75" customHeight="1"/>
    <row r="206" ht="15.75" customHeight="1">
      <c r="A206" s="3"/>
    </row>
    <row r="207" ht="15.75" customHeight="1"/>
    <row r="208" ht="15.75" customHeight="1">
      <c r="A208" s="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>
      <c r="A214" s="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71"/>
    <col customWidth="1" min="3" max="3" width="24.0"/>
    <col customWidth="1" min="4" max="4" width="21.71"/>
    <col customWidth="1" min="5" max="7" width="12.0"/>
    <col customWidth="1" min="8" max="25" width="8.71"/>
  </cols>
  <sheetData>
    <row r="1">
      <c r="A1" s="1" t="s">
        <v>0</v>
      </c>
    </row>
    <row r="2">
      <c r="A2" s="3" t="s">
        <v>2</v>
      </c>
    </row>
    <row r="4">
      <c r="A4" s="4" t="s">
        <v>4</v>
      </c>
      <c r="B4" s="6"/>
      <c r="C4" s="6"/>
      <c r="D4" s="6"/>
    </row>
    <row r="5">
      <c r="A5" s="7"/>
      <c r="B5" s="8" t="s">
        <v>6</v>
      </c>
      <c r="C5" s="8" t="s">
        <v>7</v>
      </c>
      <c r="D5" s="8" t="s">
        <v>8</v>
      </c>
      <c r="E5" s="8" t="s">
        <v>9</v>
      </c>
    </row>
    <row r="6">
      <c r="A6" s="9" t="s">
        <v>6</v>
      </c>
      <c r="B6" s="10">
        <v>1.0</v>
      </c>
      <c r="C6" s="12">
        <v>0.0</v>
      </c>
      <c r="D6" s="12">
        <v>0.0</v>
      </c>
      <c r="E6" s="12">
        <v>0.0</v>
      </c>
    </row>
    <row r="7">
      <c r="A7" s="9" t="s">
        <v>7</v>
      </c>
      <c r="B7" s="10" t="str">
        <f>1/C6</f>
        <v>#DIV/0!</v>
      </c>
      <c r="C7" s="10">
        <v>1.0</v>
      </c>
      <c r="D7" s="12">
        <v>0.0</v>
      </c>
      <c r="E7" s="12">
        <v>0.0</v>
      </c>
    </row>
    <row r="8">
      <c r="A8" s="9" t="s">
        <v>8</v>
      </c>
      <c r="B8" s="7" t="str">
        <f>1/D6</f>
        <v>#DIV/0!</v>
      </c>
      <c r="C8" s="7" t="str">
        <f>1/D7</f>
        <v>#DIV/0!</v>
      </c>
      <c r="D8" s="10">
        <v>1.0</v>
      </c>
      <c r="E8" s="12">
        <v>0.0</v>
      </c>
    </row>
    <row r="9">
      <c r="A9" s="9" t="s">
        <v>9</v>
      </c>
      <c r="B9" s="7" t="str">
        <f>1/E6</f>
        <v>#DIV/0!</v>
      </c>
      <c r="C9" s="7" t="str">
        <f>1/E7</f>
        <v>#DIV/0!</v>
      </c>
      <c r="D9" s="7" t="str">
        <f>1/E8</f>
        <v>#DIV/0!</v>
      </c>
      <c r="E9" s="10">
        <v>1.0</v>
      </c>
    </row>
    <row r="11">
      <c r="A11" s="16" t="s">
        <v>22</v>
      </c>
    </row>
    <row r="12">
      <c r="A12" s="9" t="s">
        <v>6</v>
      </c>
      <c r="B12" s="7">
        <f t="shared" ref="B12:B15" si="1">PRODUCT(B6:E6)^(1/4)</f>
        <v>0</v>
      </c>
    </row>
    <row r="13">
      <c r="A13" s="9" t="s">
        <v>7</v>
      </c>
      <c r="B13" s="7" t="str">
        <f t="shared" si="1"/>
        <v>#DIV/0!</v>
      </c>
    </row>
    <row r="14">
      <c r="A14" s="9" t="s">
        <v>8</v>
      </c>
      <c r="B14" s="7" t="str">
        <f t="shared" si="1"/>
        <v>#DIV/0!</v>
      </c>
    </row>
    <row r="15">
      <c r="A15" s="9" t="s">
        <v>9</v>
      </c>
      <c r="B15" s="7" t="str">
        <f t="shared" si="1"/>
        <v>#DIV/0!</v>
      </c>
    </row>
    <row r="16">
      <c r="A16" s="19" t="s">
        <v>24</v>
      </c>
      <c r="B16" s="7" t="str">
        <f>SUM(B12:B15)</f>
        <v>#DIV/0!</v>
      </c>
    </row>
    <row r="18">
      <c r="A18" s="16" t="s">
        <v>26</v>
      </c>
      <c r="B18" s="6"/>
    </row>
    <row r="19" ht="15.75" customHeight="1">
      <c r="A19" s="21" t="s">
        <v>6</v>
      </c>
      <c r="B19" s="22" t="str">
        <f t="shared" ref="B19:B22" si="2">B12/$B$16</f>
        <v>#DIV/0!</v>
      </c>
    </row>
    <row r="20" ht="15.75" customHeight="1">
      <c r="A20" s="21" t="s">
        <v>7</v>
      </c>
      <c r="B20" s="22" t="str">
        <f t="shared" si="2"/>
        <v>#DIV/0!</v>
      </c>
    </row>
    <row r="21" ht="15.75" customHeight="1">
      <c r="A21" s="21" t="s">
        <v>8</v>
      </c>
      <c r="B21" s="22" t="str">
        <f t="shared" si="2"/>
        <v>#DIV/0!</v>
      </c>
    </row>
    <row r="22" ht="15.75" customHeight="1">
      <c r="A22" s="21" t="s">
        <v>9</v>
      </c>
      <c r="B22" s="22" t="str">
        <f t="shared" si="2"/>
        <v>#DIV/0!</v>
      </c>
    </row>
    <row r="23" ht="15.75" customHeight="1"/>
    <row r="24" ht="15.75" customHeight="1">
      <c r="A24" s="16" t="s">
        <v>27</v>
      </c>
      <c r="B24" s="6"/>
      <c r="C24" s="6"/>
    </row>
    <row r="25" ht="15.75" customHeight="1">
      <c r="A25" s="21" t="s">
        <v>6</v>
      </c>
      <c r="B25" s="22" t="str">
        <f t="shared" ref="B25:B28" si="3">SUMPRODUCT(B6:E6,$B$19:$B$22)</f>
        <v>#DIV/0!</v>
      </c>
    </row>
    <row r="26" ht="15.75" customHeight="1">
      <c r="A26" s="21" t="s">
        <v>7</v>
      </c>
      <c r="B26" s="22" t="str">
        <f t="shared" si="3"/>
        <v>#DIV/0!</v>
      </c>
    </row>
    <row r="27" ht="15.75" customHeight="1">
      <c r="A27" s="21" t="s">
        <v>8</v>
      </c>
      <c r="B27" s="22" t="str">
        <f t="shared" si="3"/>
        <v>#DIV/0!</v>
      </c>
    </row>
    <row r="28" ht="15.75" customHeight="1">
      <c r="A28" s="21" t="s">
        <v>9</v>
      </c>
      <c r="B28" s="22" t="str">
        <f t="shared" si="3"/>
        <v>#DIV/0!</v>
      </c>
    </row>
    <row r="29" ht="15.75" customHeight="1"/>
    <row r="30" ht="15.75" customHeight="1">
      <c r="A30" s="16" t="s">
        <v>28</v>
      </c>
    </row>
    <row r="31" ht="15.75" customHeight="1">
      <c r="A31" s="21" t="s">
        <v>6</v>
      </c>
      <c r="B31" s="22" t="str">
        <f t="shared" ref="B31:B34" si="4">B25/B19</f>
        <v>#DIV/0!</v>
      </c>
    </row>
    <row r="32" ht="15.75" customHeight="1">
      <c r="A32" s="21" t="s">
        <v>7</v>
      </c>
      <c r="B32" s="22" t="str">
        <f t="shared" si="4"/>
        <v>#DIV/0!</v>
      </c>
    </row>
    <row r="33" ht="15.75" customHeight="1">
      <c r="A33" s="21" t="s">
        <v>8</v>
      </c>
      <c r="B33" s="22" t="str">
        <f t="shared" si="4"/>
        <v>#DIV/0!</v>
      </c>
    </row>
    <row r="34" ht="15.75" customHeight="1">
      <c r="A34" s="21" t="s">
        <v>9</v>
      </c>
      <c r="B34" s="22" t="str">
        <f t="shared" si="4"/>
        <v>#DIV/0!</v>
      </c>
    </row>
    <row r="35" ht="15.75" customHeight="1"/>
    <row r="36" ht="15.75" customHeight="1">
      <c r="A36" s="27" t="s">
        <v>30</v>
      </c>
      <c r="B36" s="7" t="str">
        <f>AVERAGE(B31:B34)</f>
        <v>#DIV/0!</v>
      </c>
    </row>
    <row r="37" ht="15.75" customHeight="1">
      <c r="A37" s="27" t="s">
        <v>33</v>
      </c>
      <c r="B37" s="7" t="str">
        <f>(B36-4)/(4-1)</f>
        <v>#DIV/0!</v>
      </c>
    </row>
    <row r="38" ht="15.75" customHeight="1">
      <c r="A38" s="27" t="s">
        <v>34</v>
      </c>
      <c r="B38" s="7">
        <v>1.12</v>
      </c>
    </row>
    <row r="39" ht="15.75" customHeight="1">
      <c r="A39" s="27" t="s">
        <v>35</v>
      </c>
      <c r="B39" s="7" t="str">
        <f>B37/B38</f>
        <v>#DIV/0!</v>
      </c>
    </row>
    <row r="40" ht="15.75" customHeight="1">
      <c r="A40" s="27" t="s">
        <v>36</v>
      </c>
      <c r="B40" s="7" t="str">
        <f>IF(B39&lt;=0.1,"Да","Нет")</f>
        <v>#DIV/0!</v>
      </c>
    </row>
    <row r="41" ht="15.75" customHeight="1"/>
    <row r="42" ht="15.75" customHeight="1">
      <c r="A42" s="4" t="s">
        <v>37</v>
      </c>
      <c r="B42" s="6"/>
      <c r="C42" s="6"/>
      <c r="D42" s="6"/>
    </row>
    <row r="43" ht="15.75" customHeight="1">
      <c r="A43" s="7"/>
      <c r="B43" s="8" t="s">
        <v>11</v>
      </c>
      <c r="C43" s="8" t="s">
        <v>14</v>
      </c>
      <c r="D43" s="8" t="s">
        <v>17</v>
      </c>
      <c r="E43" s="8" t="s">
        <v>20</v>
      </c>
    </row>
    <row r="44" ht="15.75" customHeight="1">
      <c r="A44" s="9" t="s">
        <v>11</v>
      </c>
      <c r="B44" s="10">
        <v>1.0</v>
      </c>
      <c r="C44" s="12">
        <v>0.0</v>
      </c>
      <c r="D44" s="12">
        <v>0.0</v>
      </c>
      <c r="E44" s="12">
        <v>0.0</v>
      </c>
    </row>
    <row r="45" ht="15.75" customHeight="1">
      <c r="A45" s="9" t="s">
        <v>14</v>
      </c>
      <c r="B45" s="10" t="str">
        <f>1/C44</f>
        <v>#DIV/0!</v>
      </c>
      <c r="C45" s="10">
        <v>1.0</v>
      </c>
      <c r="D45" s="12">
        <v>0.0</v>
      </c>
      <c r="E45" s="12">
        <v>0.0</v>
      </c>
    </row>
    <row r="46" ht="15.75" customHeight="1">
      <c r="A46" s="9" t="s">
        <v>17</v>
      </c>
      <c r="B46" s="7" t="str">
        <f>1/D44</f>
        <v>#DIV/0!</v>
      </c>
      <c r="C46" s="7" t="str">
        <f>1/D45</f>
        <v>#DIV/0!</v>
      </c>
      <c r="D46" s="10">
        <v>1.0</v>
      </c>
      <c r="E46" s="12">
        <v>0.0</v>
      </c>
    </row>
    <row r="47" ht="15.75" customHeight="1">
      <c r="A47" s="9" t="s">
        <v>20</v>
      </c>
      <c r="B47" s="7" t="str">
        <f>1/E44</f>
        <v>#DIV/0!</v>
      </c>
      <c r="C47" s="7" t="str">
        <f>1/E45</f>
        <v>#DIV/0!</v>
      </c>
      <c r="D47" s="7" t="str">
        <f>1/E46</f>
        <v>#DIV/0!</v>
      </c>
      <c r="E47" s="10">
        <v>1.0</v>
      </c>
    </row>
    <row r="48" ht="15.75" customHeight="1"/>
    <row r="49" ht="15.75" customHeight="1">
      <c r="A49" s="16" t="s">
        <v>22</v>
      </c>
    </row>
    <row r="50" ht="15.75" customHeight="1">
      <c r="A50" s="9" t="s">
        <v>11</v>
      </c>
      <c r="B50" s="7">
        <f t="shared" ref="B50:B53" si="5">PRODUCT(B44:E44)^(1/4)</f>
        <v>0</v>
      </c>
    </row>
    <row r="51" ht="15.75" customHeight="1">
      <c r="A51" s="9" t="s">
        <v>14</v>
      </c>
      <c r="B51" s="7" t="str">
        <f t="shared" si="5"/>
        <v>#DIV/0!</v>
      </c>
    </row>
    <row r="52" ht="15.75" customHeight="1">
      <c r="A52" s="9" t="s">
        <v>17</v>
      </c>
      <c r="B52" s="7" t="str">
        <f t="shared" si="5"/>
        <v>#DIV/0!</v>
      </c>
    </row>
    <row r="53" ht="15.75" customHeight="1">
      <c r="A53" s="9" t="s">
        <v>20</v>
      </c>
      <c r="B53" s="7" t="str">
        <f t="shared" si="5"/>
        <v>#DIV/0!</v>
      </c>
    </row>
    <row r="54" ht="15.75" customHeight="1">
      <c r="A54" s="27" t="s">
        <v>24</v>
      </c>
      <c r="B54" s="7" t="str">
        <f>SUM(B50:B53)</f>
        <v>#DIV/0!</v>
      </c>
    </row>
    <row r="55" ht="15.75" customHeight="1"/>
    <row r="56" ht="15.75" customHeight="1">
      <c r="A56" s="16" t="s">
        <v>26</v>
      </c>
      <c r="B56" s="6"/>
    </row>
    <row r="57" ht="15.75" customHeight="1">
      <c r="A57" s="9" t="s">
        <v>11</v>
      </c>
      <c r="B57" s="7" t="str">
        <f t="shared" ref="B57:B60" si="6">B50/$B$54</f>
        <v>#DIV/0!</v>
      </c>
    </row>
    <row r="58" ht="15.75" customHeight="1">
      <c r="A58" s="9" t="s">
        <v>14</v>
      </c>
      <c r="B58" s="7" t="str">
        <f t="shared" si="6"/>
        <v>#DIV/0!</v>
      </c>
    </row>
    <row r="59" ht="15.75" customHeight="1">
      <c r="A59" s="9" t="s">
        <v>17</v>
      </c>
      <c r="B59" s="7" t="str">
        <f t="shared" si="6"/>
        <v>#DIV/0!</v>
      </c>
    </row>
    <row r="60" ht="15.75" customHeight="1">
      <c r="A60" s="9" t="s">
        <v>20</v>
      </c>
      <c r="B60" s="7" t="str">
        <f t="shared" si="6"/>
        <v>#DIV/0!</v>
      </c>
    </row>
    <row r="61" ht="15.75" customHeight="1"/>
    <row r="62" ht="15.75" customHeight="1">
      <c r="A62" s="16" t="s">
        <v>27</v>
      </c>
      <c r="B62" s="6"/>
      <c r="C62" s="6"/>
    </row>
    <row r="63" ht="15.75" customHeight="1">
      <c r="A63" s="9" t="s">
        <v>11</v>
      </c>
      <c r="B63" s="7" t="str">
        <f t="shared" ref="B63:B66" si="7">SUMPRODUCT(B44:E44,$B$57:$B$60)</f>
        <v>#DIV/0!</v>
      </c>
    </row>
    <row r="64" ht="15.75" customHeight="1">
      <c r="A64" s="9" t="s">
        <v>14</v>
      </c>
      <c r="B64" s="7" t="str">
        <f t="shared" si="7"/>
        <v>#DIV/0!</v>
      </c>
    </row>
    <row r="65" ht="15.75" customHeight="1">
      <c r="A65" s="9" t="s">
        <v>17</v>
      </c>
      <c r="B65" s="7" t="str">
        <f t="shared" si="7"/>
        <v>#DIV/0!</v>
      </c>
    </row>
    <row r="66" ht="15.75" customHeight="1">
      <c r="A66" s="9" t="s">
        <v>20</v>
      </c>
      <c r="B66" s="7" t="str">
        <f t="shared" si="7"/>
        <v>#DIV/0!</v>
      </c>
    </row>
    <row r="67" ht="15.75" customHeight="1"/>
    <row r="68" ht="15.75" customHeight="1">
      <c r="A68" s="16" t="s">
        <v>28</v>
      </c>
    </row>
    <row r="69" ht="15.75" customHeight="1">
      <c r="A69" s="9" t="s">
        <v>11</v>
      </c>
      <c r="B69" s="7" t="str">
        <f t="shared" ref="B69:B72" si="8">B63/B57</f>
        <v>#DIV/0!</v>
      </c>
    </row>
    <row r="70" ht="15.75" customHeight="1">
      <c r="A70" s="9" t="s">
        <v>14</v>
      </c>
      <c r="B70" s="7" t="str">
        <f t="shared" si="8"/>
        <v>#DIV/0!</v>
      </c>
    </row>
    <row r="71" ht="15.75" customHeight="1">
      <c r="A71" s="9" t="s">
        <v>17</v>
      </c>
      <c r="B71" s="7" t="str">
        <f t="shared" si="8"/>
        <v>#DIV/0!</v>
      </c>
    </row>
    <row r="72" ht="15.75" customHeight="1">
      <c r="A72" s="9" t="s">
        <v>20</v>
      </c>
      <c r="B72" s="7" t="str">
        <f t="shared" si="8"/>
        <v>#DIV/0!</v>
      </c>
    </row>
    <row r="73" ht="15.75" customHeight="1"/>
    <row r="74" ht="15.75" customHeight="1">
      <c r="A74" s="27" t="s">
        <v>30</v>
      </c>
      <c r="B74" s="7" t="str">
        <f>AVERAGE(B69:B72)</f>
        <v>#DIV/0!</v>
      </c>
    </row>
    <row r="75" ht="15.75" customHeight="1">
      <c r="A75" s="27" t="s">
        <v>33</v>
      </c>
      <c r="B75" s="7" t="str">
        <f>(B74-4)/(4-1)</f>
        <v>#DIV/0!</v>
      </c>
    </row>
    <row r="76" ht="15.75" customHeight="1">
      <c r="A76" s="27" t="s">
        <v>34</v>
      </c>
      <c r="B76" s="7">
        <v>0.9</v>
      </c>
    </row>
    <row r="77" ht="15.75" customHeight="1">
      <c r="A77" s="27" t="s">
        <v>35</v>
      </c>
      <c r="B77" s="7" t="str">
        <f>B75/B76</f>
        <v>#DIV/0!</v>
      </c>
    </row>
    <row r="78" ht="15.75" customHeight="1">
      <c r="A78" s="27" t="s">
        <v>36</v>
      </c>
      <c r="B78" s="7" t="str">
        <f>IF(B77&lt;=0.1,"Да","Нет")</f>
        <v>#DIV/0!</v>
      </c>
    </row>
    <row r="79" ht="15.75" customHeight="1"/>
    <row r="80" ht="15.75" customHeight="1">
      <c r="A80" s="4" t="s">
        <v>43</v>
      </c>
      <c r="B80" s="6"/>
      <c r="C80" s="6"/>
    </row>
    <row r="81" ht="15.75" customHeight="1">
      <c r="A81" s="7"/>
      <c r="B81" s="8" t="s">
        <v>11</v>
      </c>
      <c r="C81" s="8" t="s">
        <v>14</v>
      </c>
      <c r="D81" s="8" t="s">
        <v>17</v>
      </c>
      <c r="E81" s="8" t="s">
        <v>20</v>
      </c>
    </row>
    <row r="82" ht="15.75" customHeight="1">
      <c r="A82" s="9" t="s">
        <v>11</v>
      </c>
      <c r="B82" s="10">
        <v>1.0</v>
      </c>
      <c r="C82" s="12">
        <v>0.0</v>
      </c>
      <c r="D82" s="12">
        <v>0.0</v>
      </c>
      <c r="E82" s="12">
        <v>0.0</v>
      </c>
    </row>
    <row r="83" ht="15.75" customHeight="1">
      <c r="A83" s="9" t="s">
        <v>14</v>
      </c>
      <c r="B83" s="10" t="str">
        <f>1/C82</f>
        <v>#DIV/0!</v>
      </c>
      <c r="C83" s="10">
        <v>1.0</v>
      </c>
      <c r="D83" s="12">
        <v>0.0</v>
      </c>
      <c r="E83" s="12">
        <v>0.0</v>
      </c>
    </row>
    <row r="84" ht="15.75" customHeight="1">
      <c r="A84" s="9" t="s">
        <v>17</v>
      </c>
      <c r="B84" s="7" t="str">
        <f>1/D82</f>
        <v>#DIV/0!</v>
      </c>
      <c r="C84" s="7" t="str">
        <f>1/D83</f>
        <v>#DIV/0!</v>
      </c>
      <c r="D84" s="10">
        <v>1.0</v>
      </c>
      <c r="E84" s="12">
        <v>0.0</v>
      </c>
    </row>
    <row r="85" ht="15.75" customHeight="1">
      <c r="A85" s="9" t="s">
        <v>20</v>
      </c>
      <c r="B85" s="7" t="str">
        <f>1/E82</f>
        <v>#DIV/0!</v>
      </c>
      <c r="C85" s="7" t="str">
        <f>1/E83</f>
        <v>#DIV/0!</v>
      </c>
      <c r="D85" s="7" t="str">
        <f>1/E84</f>
        <v>#DIV/0!</v>
      </c>
      <c r="E85" s="10">
        <v>1.0</v>
      </c>
    </row>
    <row r="86" ht="15.75" customHeight="1"/>
    <row r="87" ht="15.75" customHeight="1">
      <c r="A87" s="16" t="s">
        <v>22</v>
      </c>
    </row>
    <row r="88" ht="15.75" customHeight="1">
      <c r="A88" s="9" t="s">
        <v>11</v>
      </c>
      <c r="B88" s="7">
        <f t="shared" ref="B88:B91" si="9">PRODUCT(B82:E82)^(1/4)</f>
        <v>0</v>
      </c>
    </row>
    <row r="89" ht="15.75" customHeight="1">
      <c r="A89" s="9" t="s">
        <v>14</v>
      </c>
      <c r="B89" s="7" t="str">
        <f t="shared" si="9"/>
        <v>#DIV/0!</v>
      </c>
    </row>
    <row r="90" ht="15.75" customHeight="1">
      <c r="A90" s="9" t="s">
        <v>17</v>
      </c>
      <c r="B90" s="7" t="str">
        <f t="shared" si="9"/>
        <v>#DIV/0!</v>
      </c>
    </row>
    <row r="91" ht="15.75" customHeight="1">
      <c r="A91" s="9" t="s">
        <v>20</v>
      </c>
      <c r="B91" s="7" t="str">
        <f t="shared" si="9"/>
        <v>#DIV/0!</v>
      </c>
    </row>
    <row r="92" ht="15.75" customHeight="1">
      <c r="A92" s="27" t="s">
        <v>24</v>
      </c>
      <c r="B92" s="7" t="str">
        <f>SUM(B88:B91)</f>
        <v>#DIV/0!</v>
      </c>
    </row>
    <row r="93" ht="15.75" customHeight="1"/>
    <row r="94" ht="15.75" customHeight="1">
      <c r="A94" s="16" t="s">
        <v>26</v>
      </c>
      <c r="B94" s="6"/>
    </row>
    <row r="95" ht="15.75" customHeight="1">
      <c r="A95" s="9" t="s">
        <v>11</v>
      </c>
      <c r="B95" s="7" t="str">
        <f t="shared" ref="B95:B98" si="10">B88/$B$92</f>
        <v>#DIV/0!</v>
      </c>
    </row>
    <row r="96" ht="15.75" customHeight="1">
      <c r="A96" s="9" t="s">
        <v>14</v>
      </c>
      <c r="B96" s="7" t="str">
        <f t="shared" si="10"/>
        <v>#DIV/0!</v>
      </c>
    </row>
    <row r="97" ht="15.75" customHeight="1">
      <c r="A97" s="9" t="s">
        <v>17</v>
      </c>
      <c r="B97" s="7" t="str">
        <f t="shared" si="10"/>
        <v>#DIV/0!</v>
      </c>
    </row>
    <row r="98" ht="15.75" customHeight="1">
      <c r="A98" s="9" t="s">
        <v>20</v>
      </c>
      <c r="B98" s="7" t="str">
        <f t="shared" si="10"/>
        <v>#DIV/0!</v>
      </c>
    </row>
    <row r="99" ht="15.75" customHeight="1"/>
    <row r="100" ht="15.75" customHeight="1">
      <c r="A100" s="16" t="s">
        <v>27</v>
      </c>
      <c r="B100" s="6"/>
      <c r="C100" s="6"/>
    </row>
    <row r="101" ht="15.75" customHeight="1">
      <c r="A101" s="9" t="s">
        <v>11</v>
      </c>
      <c r="B101" s="7" t="str">
        <f t="shared" ref="B101:B104" si="11">SUMPRODUCT(B82:E82,$B$95:$B$98)</f>
        <v>#DIV/0!</v>
      </c>
    </row>
    <row r="102" ht="15.75" customHeight="1">
      <c r="A102" s="9" t="s">
        <v>14</v>
      </c>
      <c r="B102" s="7" t="str">
        <f t="shared" si="11"/>
        <v>#DIV/0!</v>
      </c>
    </row>
    <row r="103" ht="15.75" customHeight="1">
      <c r="A103" s="9" t="s">
        <v>17</v>
      </c>
      <c r="B103" s="7" t="str">
        <f t="shared" si="11"/>
        <v>#DIV/0!</v>
      </c>
    </row>
    <row r="104" ht="15.75" customHeight="1">
      <c r="A104" s="9" t="s">
        <v>20</v>
      </c>
      <c r="B104" s="7" t="str">
        <f t="shared" si="11"/>
        <v>#DIV/0!</v>
      </c>
    </row>
    <row r="105" ht="15.75" customHeight="1"/>
    <row r="106" ht="15.75" customHeight="1">
      <c r="A106" s="16" t="s">
        <v>28</v>
      </c>
    </row>
    <row r="107" ht="15.75" customHeight="1">
      <c r="A107" s="9" t="s">
        <v>11</v>
      </c>
      <c r="B107" s="7" t="str">
        <f t="shared" ref="B107:B110" si="12">B101/B95</f>
        <v>#DIV/0!</v>
      </c>
    </row>
    <row r="108" ht="15.75" customHeight="1">
      <c r="A108" s="9" t="s">
        <v>14</v>
      </c>
      <c r="B108" s="7" t="str">
        <f t="shared" si="12"/>
        <v>#DIV/0!</v>
      </c>
    </row>
    <row r="109" ht="15.75" customHeight="1">
      <c r="A109" s="9" t="s">
        <v>17</v>
      </c>
      <c r="B109" s="7" t="str">
        <f t="shared" si="12"/>
        <v>#DIV/0!</v>
      </c>
    </row>
    <row r="110" ht="15.75" customHeight="1">
      <c r="A110" s="9" t="s">
        <v>20</v>
      </c>
      <c r="B110" s="7" t="str">
        <f t="shared" si="12"/>
        <v>#DIV/0!</v>
      </c>
    </row>
    <row r="111" ht="15.75" customHeight="1"/>
    <row r="112" ht="15.75" customHeight="1">
      <c r="A112" s="27" t="s">
        <v>30</v>
      </c>
      <c r="B112" s="7" t="str">
        <f>AVERAGE(B107:B110)</f>
        <v>#DIV/0!</v>
      </c>
    </row>
    <row r="113" ht="15.75" customHeight="1">
      <c r="A113" s="27" t="s">
        <v>33</v>
      </c>
      <c r="B113" s="7" t="str">
        <f>(B112-4)/(4-1)</f>
        <v>#DIV/0!</v>
      </c>
    </row>
    <row r="114" ht="15.75" customHeight="1">
      <c r="A114" s="27" t="s">
        <v>34</v>
      </c>
      <c r="B114" s="7">
        <v>0.9</v>
      </c>
    </row>
    <row r="115" ht="15.75" customHeight="1">
      <c r="A115" s="27" t="s">
        <v>35</v>
      </c>
      <c r="B115" s="7" t="str">
        <f>B113/B114</f>
        <v>#DIV/0!</v>
      </c>
    </row>
    <row r="116" ht="15.75" customHeight="1">
      <c r="A116" s="27" t="s">
        <v>36</v>
      </c>
      <c r="B116" s="7" t="str">
        <f>IF(B115&lt;=0.1,"Да","Нет")</f>
        <v>#DIV/0!</v>
      </c>
    </row>
    <row r="117" ht="15.75" customHeight="1"/>
    <row r="118" ht="15.75" customHeight="1">
      <c r="A118" s="4" t="s">
        <v>48</v>
      </c>
      <c r="B118" s="6"/>
      <c r="C118" s="6"/>
    </row>
    <row r="119" ht="15.75" customHeight="1">
      <c r="A119" s="7"/>
      <c r="B119" s="8" t="s">
        <v>11</v>
      </c>
      <c r="C119" s="8" t="s">
        <v>14</v>
      </c>
      <c r="D119" s="8" t="s">
        <v>17</v>
      </c>
      <c r="E119" s="8" t="s">
        <v>20</v>
      </c>
    </row>
    <row r="120" ht="15.75" customHeight="1">
      <c r="A120" s="9" t="s">
        <v>11</v>
      </c>
      <c r="B120" s="10">
        <v>1.0</v>
      </c>
      <c r="C120" s="12">
        <v>0.0</v>
      </c>
      <c r="D120" s="12">
        <v>0.0</v>
      </c>
      <c r="E120" s="12">
        <v>0.0</v>
      </c>
    </row>
    <row r="121" ht="15.75" customHeight="1">
      <c r="A121" s="9" t="s">
        <v>14</v>
      </c>
      <c r="B121" s="10" t="str">
        <f>1/C120</f>
        <v>#DIV/0!</v>
      </c>
      <c r="C121" s="10">
        <v>1.0</v>
      </c>
      <c r="D121" s="12">
        <v>0.0</v>
      </c>
      <c r="E121" s="12">
        <v>0.0</v>
      </c>
    </row>
    <row r="122" ht="15.75" customHeight="1">
      <c r="A122" s="9" t="s">
        <v>17</v>
      </c>
      <c r="B122" s="7" t="str">
        <f>1/D120</f>
        <v>#DIV/0!</v>
      </c>
      <c r="C122" s="7" t="str">
        <f>1/D121</f>
        <v>#DIV/0!</v>
      </c>
      <c r="D122" s="10">
        <v>1.0</v>
      </c>
      <c r="E122" s="12">
        <v>0.0</v>
      </c>
    </row>
    <row r="123" ht="15.75" customHeight="1">
      <c r="A123" s="9" t="s">
        <v>20</v>
      </c>
      <c r="B123" s="7" t="str">
        <f>1/E120</f>
        <v>#DIV/0!</v>
      </c>
      <c r="C123" s="7" t="str">
        <f>1/E121</f>
        <v>#DIV/0!</v>
      </c>
      <c r="D123" s="7" t="str">
        <f>1/E122</f>
        <v>#DIV/0!</v>
      </c>
      <c r="E123" s="10">
        <v>1.0</v>
      </c>
    </row>
    <row r="124" ht="15.75" customHeight="1"/>
    <row r="125" ht="15.75" customHeight="1">
      <c r="A125" s="16" t="s">
        <v>22</v>
      </c>
    </row>
    <row r="126" ht="15.75" customHeight="1">
      <c r="A126" s="9" t="s">
        <v>11</v>
      </c>
      <c r="B126" s="7">
        <f t="shared" ref="B126:B129" si="13">PRODUCT(B120:E120)^(1/4)</f>
        <v>0</v>
      </c>
    </row>
    <row r="127" ht="15.75" customHeight="1">
      <c r="A127" s="9" t="s">
        <v>14</v>
      </c>
      <c r="B127" s="7" t="str">
        <f t="shared" si="13"/>
        <v>#DIV/0!</v>
      </c>
    </row>
    <row r="128" ht="15.75" customHeight="1">
      <c r="A128" s="9" t="s">
        <v>17</v>
      </c>
      <c r="B128" s="7" t="str">
        <f t="shared" si="13"/>
        <v>#DIV/0!</v>
      </c>
    </row>
    <row r="129" ht="15.75" customHeight="1">
      <c r="A129" s="9" t="s">
        <v>20</v>
      </c>
      <c r="B129" s="7" t="str">
        <f t="shared" si="13"/>
        <v>#DIV/0!</v>
      </c>
    </row>
    <row r="130" ht="15.75" customHeight="1">
      <c r="A130" s="27" t="s">
        <v>24</v>
      </c>
      <c r="B130" s="7" t="str">
        <f>SUM(B126:B129)</f>
        <v>#DIV/0!</v>
      </c>
    </row>
    <row r="131" ht="15.75" customHeight="1"/>
    <row r="132" ht="15.75" customHeight="1">
      <c r="A132" s="16" t="s">
        <v>26</v>
      </c>
      <c r="B132" s="6"/>
    </row>
    <row r="133" ht="15.75" customHeight="1">
      <c r="A133" s="9" t="s">
        <v>11</v>
      </c>
      <c r="B133" s="7" t="str">
        <f t="shared" ref="B133:B136" si="14">B126/$B$130</f>
        <v>#DIV/0!</v>
      </c>
    </row>
    <row r="134" ht="15.75" customHeight="1">
      <c r="A134" s="9" t="s">
        <v>14</v>
      </c>
      <c r="B134" s="7" t="str">
        <f t="shared" si="14"/>
        <v>#DIV/0!</v>
      </c>
    </row>
    <row r="135" ht="15.75" customHeight="1">
      <c r="A135" s="9" t="s">
        <v>17</v>
      </c>
      <c r="B135" s="7" t="str">
        <f t="shared" si="14"/>
        <v>#DIV/0!</v>
      </c>
    </row>
    <row r="136" ht="15.75" customHeight="1">
      <c r="A136" s="9" t="s">
        <v>20</v>
      </c>
      <c r="B136" s="7" t="str">
        <f t="shared" si="14"/>
        <v>#DIV/0!</v>
      </c>
    </row>
    <row r="137" ht="15.75" customHeight="1"/>
    <row r="138" ht="15.75" customHeight="1">
      <c r="A138" s="16" t="s">
        <v>27</v>
      </c>
      <c r="B138" s="6"/>
      <c r="C138" s="6"/>
    </row>
    <row r="139" ht="15.75" customHeight="1">
      <c r="A139" s="9" t="s">
        <v>11</v>
      </c>
      <c r="B139" s="7" t="str">
        <f t="shared" ref="B139:B142" si="15">SUMPRODUCT(B120:E120,$B$133:$B$136)</f>
        <v>#DIV/0!</v>
      </c>
    </row>
    <row r="140" ht="15.75" customHeight="1">
      <c r="A140" s="9" t="s">
        <v>14</v>
      </c>
      <c r="B140" s="7" t="str">
        <f t="shared" si="15"/>
        <v>#DIV/0!</v>
      </c>
    </row>
    <row r="141" ht="15.75" customHeight="1">
      <c r="A141" s="9" t="s">
        <v>17</v>
      </c>
      <c r="B141" s="7" t="str">
        <f t="shared" si="15"/>
        <v>#DIV/0!</v>
      </c>
    </row>
    <row r="142" ht="15.75" customHeight="1">
      <c r="A142" s="9" t="s">
        <v>20</v>
      </c>
      <c r="B142" s="7" t="str">
        <f t="shared" si="15"/>
        <v>#DIV/0!</v>
      </c>
    </row>
    <row r="143" ht="15.75" customHeight="1"/>
    <row r="144" ht="15.75" customHeight="1">
      <c r="A144" s="16" t="s">
        <v>28</v>
      </c>
    </row>
    <row r="145" ht="15.75" customHeight="1">
      <c r="A145" s="9" t="s">
        <v>11</v>
      </c>
      <c r="B145" s="7" t="str">
        <f t="shared" ref="B145:B148" si="16">B139/B133</f>
        <v>#DIV/0!</v>
      </c>
    </row>
    <row r="146" ht="15.75" customHeight="1">
      <c r="A146" s="9" t="s">
        <v>14</v>
      </c>
      <c r="B146" s="7" t="str">
        <f t="shared" si="16"/>
        <v>#DIV/0!</v>
      </c>
    </row>
    <row r="147" ht="15.75" customHeight="1">
      <c r="A147" s="9" t="s">
        <v>17</v>
      </c>
      <c r="B147" s="7" t="str">
        <f t="shared" si="16"/>
        <v>#DIV/0!</v>
      </c>
    </row>
    <row r="148" ht="15.75" customHeight="1">
      <c r="A148" s="9" t="s">
        <v>20</v>
      </c>
      <c r="B148" s="7" t="str">
        <f t="shared" si="16"/>
        <v>#DIV/0!</v>
      </c>
    </row>
    <row r="149" ht="15.75" customHeight="1"/>
    <row r="150" ht="15.75" customHeight="1">
      <c r="A150" s="27" t="s">
        <v>30</v>
      </c>
      <c r="B150" s="7" t="str">
        <f>AVERAGE(B145:B148)</f>
        <v>#DIV/0!</v>
      </c>
    </row>
    <row r="151" ht="15.75" customHeight="1">
      <c r="A151" s="27" t="s">
        <v>33</v>
      </c>
      <c r="B151" s="7" t="str">
        <f>(B150-4)/(4-1)</f>
        <v>#DIV/0!</v>
      </c>
    </row>
    <row r="152" ht="15.75" customHeight="1">
      <c r="A152" s="27" t="s">
        <v>34</v>
      </c>
      <c r="B152" s="7">
        <v>0.9</v>
      </c>
    </row>
    <row r="153" ht="15.75" customHeight="1">
      <c r="A153" s="27" t="s">
        <v>35</v>
      </c>
      <c r="B153" s="7" t="str">
        <f>B151/B152</f>
        <v>#DIV/0!</v>
      </c>
    </row>
    <row r="154" ht="15.75" customHeight="1">
      <c r="A154" s="27" t="s">
        <v>36</v>
      </c>
      <c r="B154" s="7" t="str">
        <f>IF(B153&lt;=0.1,"Да","Нет")</f>
        <v>#DIV/0!</v>
      </c>
    </row>
    <row r="155" ht="15.75" customHeight="1"/>
    <row r="156" ht="15.75" customHeight="1">
      <c r="A156" s="4" t="s">
        <v>50</v>
      </c>
      <c r="B156" s="6"/>
      <c r="C156" s="6"/>
    </row>
    <row r="157" ht="15.75" customHeight="1">
      <c r="A157" s="7"/>
      <c r="B157" s="8" t="s">
        <v>11</v>
      </c>
      <c r="C157" s="8" t="s">
        <v>14</v>
      </c>
      <c r="D157" s="8" t="s">
        <v>17</v>
      </c>
      <c r="E157" s="8" t="s">
        <v>20</v>
      </c>
    </row>
    <row r="158" ht="15.75" customHeight="1">
      <c r="A158" s="9" t="s">
        <v>11</v>
      </c>
      <c r="B158" s="10">
        <v>1.0</v>
      </c>
      <c r="C158" s="12">
        <v>0.0</v>
      </c>
      <c r="D158" s="12">
        <v>0.0</v>
      </c>
      <c r="E158" s="12">
        <v>0.0</v>
      </c>
    </row>
    <row r="159" ht="15.75" customHeight="1">
      <c r="A159" s="9" t="s">
        <v>14</v>
      </c>
      <c r="B159" s="10" t="str">
        <f>1/C158</f>
        <v>#DIV/0!</v>
      </c>
      <c r="C159" s="10">
        <v>1.0</v>
      </c>
      <c r="D159" s="12">
        <v>0.0</v>
      </c>
      <c r="E159" s="12">
        <v>0.0</v>
      </c>
    </row>
    <row r="160" ht="15.75" customHeight="1">
      <c r="A160" s="9" t="s">
        <v>17</v>
      </c>
      <c r="B160" s="7" t="str">
        <f>1/D158</f>
        <v>#DIV/0!</v>
      </c>
      <c r="C160" s="7" t="str">
        <f>1/D159</f>
        <v>#DIV/0!</v>
      </c>
      <c r="D160" s="10">
        <v>1.0</v>
      </c>
      <c r="E160" s="12">
        <v>0.0</v>
      </c>
    </row>
    <row r="161" ht="15.75" customHeight="1">
      <c r="A161" s="9" t="s">
        <v>20</v>
      </c>
      <c r="B161" s="7" t="str">
        <f>1/E158</f>
        <v>#DIV/0!</v>
      </c>
      <c r="C161" s="7" t="str">
        <f>1/E159</f>
        <v>#DIV/0!</v>
      </c>
      <c r="D161" s="7" t="str">
        <f>1/E160</f>
        <v>#DIV/0!</v>
      </c>
      <c r="E161" s="10">
        <v>1.0</v>
      </c>
    </row>
    <row r="162" ht="15.75" customHeight="1"/>
    <row r="163" ht="15.75" customHeight="1">
      <c r="A163" s="16" t="s">
        <v>22</v>
      </c>
    </row>
    <row r="164" ht="15.75" customHeight="1">
      <c r="A164" s="9" t="s">
        <v>11</v>
      </c>
      <c r="B164" s="7">
        <f t="shared" ref="B164:B167" si="17">PRODUCT(B158:E158)^(1/4)</f>
        <v>0</v>
      </c>
    </row>
    <row r="165" ht="15.75" customHeight="1">
      <c r="A165" s="9" t="s">
        <v>14</v>
      </c>
      <c r="B165" s="7" t="str">
        <f t="shared" si="17"/>
        <v>#DIV/0!</v>
      </c>
    </row>
    <row r="166" ht="15.75" customHeight="1">
      <c r="A166" s="9" t="s">
        <v>17</v>
      </c>
      <c r="B166" s="7" t="str">
        <f t="shared" si="17"/>
        <v>#DIV/0!</v>
      </c>
    </row>
    <row r="167" ht="15.75" customHeight="1">
      <c r="A167" s="9" t="s">
        <v>20</v>
      </c>
      <c r="B167" s="7" t="str">
        <f t="shared" si="17"/>
        <v>#DIV/0!</v>
      </c>
    </row>
    <row r="168" ht="15.75" customHeight="1">
      <c r="A168" s="27" t="s">
        <v>24</v>
      </c>
      <c r="B168" s="7" t="str">
        <f>SUM(B164:B167)</f>
        <v>#DIV/0!</v>
      </c>
    </row>
    <row r="169" ht="15.75" customHeight="1"/>
    <row r="170" ht="15.75" customHeight="1">
      <c r="A170" s="16" t="s">
        <v>26</v>
      </c>
      <c r="B170" s="6"/>
    </row>
    <row r="171" ht="15.75" customHeight="1">
      <c r="A171" s="9" t="s">
        <v>11</v>
      </c>
      <c r="B171" s="7" t="str">
        <f t="shared" ref="B171:B174" si="18">B164/$B$168</f>
        <v>#DIV/0!</v>
      </c>
    </row>
    <row r="172" ht="15.75" customHeight="1">
      <c r="A172" s="9" t="s">
        <v>14</v>
      </c>
      <c r="B172" s="7" t="str">
        <f t="shared" si="18"/>
        <v>#DIV/0!</v>
      </c>
    </row>
    <row r="173" ht="15.75" customHeight="1">
      <c r="A173" s="9" t="s">
        <v>17</v>
      </c>
      <c r="B173" s="7" t="str">
        <f t="shared" si="18"/>
        <v>#DIV/0!</v>
      </c>
    </row>
    <row r="174" ht="15.75" customHeight="1">
      <c r="A174" s="9" t="s">
        <v>20</v>
      </c>
      <c r="B174" s="7" t="str">
        <f t="shared" si="18"/>
        <v>#DIV/0!</v>
      </c>
    </row>
    <row r="175" ht="15.75" customHeight="1"/>
    <row r="176" ht="15.75" customHeight="1">
      <c r="A176" s="16" t="s">
        <v>27</v>
      </c>
      <c r="B176" s="6"/>
      <c r="C176" s="6"/>
    </row>
    <row r="177" ht="15.75" customHeight="1">
      <c r="A177" s="9" t="s">
        <v>11</v>
      </c>
      <c r="B177" s="7" t="str">
        <f t="shared" ref="B177:B180" si="19">SUMPRODUCT(B158:E158,$B$171:$B$174)</f>
        <v>#DIV/0!</v>
      </c>
    </row>
    <row r="178" ht="15.75" customHeight="1">
      <c r="A178" s="9" t="s">
        <v>14</v>
      </c>
      <c r="B178" s="7" t="str">
        <f t="shared" si="19"/>
        <v>#DIV/0!</v>
      </c>
    </row>
    <row r="179" ht="15.75" customHeight="1">
      <c r="A179" s="9" t="s">
        <v>17</v>
      </c>
      <c r="B179" s="7" t="str">
        <f t="shared" si="19"/>
        <v>#DIV/0!</v>
      </c>
    </row>
    <row r="180" ht="15.75" customHeight="1">
      <c r="A180" s="9" t="s">
        <v>20</v>
      </c>
      <c r="B180" s="7" t="str">
        <f t="shared" si="19"/>
        <v>#DIV/0!</v>
      </c>
    </row>
    <row r="181" ht="15.75" customHeight="1"/>
    <row r="182" ht="15.75" customHeight="1">
      <c r="A182" s="16" t="s">
        <v>28</v>
      </c>
    </row>
    <row r="183" ht="15.75" customHeight="1">
      <c r="A183" s="9" t="s">
        <v>11</v>
      </c>
      <c r="B183" s="7" t="str">
        <f t="shared" ref="B183:B186" si="20">B177/B171</f>
        <v>#DIV/0!</v>
      </c>
    </row>
    <row r="184" ht="15.75" customHeight="1">
      <c r="A184" s="9" t="s">
        <v>14</v>
      </c>
      <c r="B184" s="7" t="str">
        <f t="shared" si="20"/>
        <v>#DIV/0!</v>
      </c>
    </row>
    <row r="185" ht="15.75" customHeight="1">
      <c r="A185" s="9" t="s">
        <v>17</v>
      </c>
      <c r="B185" s="7" t="str">
        <f t="shared" si="20"/>
        <v>#DIV/0!</v>
      </c>
    </row>
    <row r="186" ht="15.75" customHeight="1">
      <c r="A186" s="9" t="s">
        <v>20</v>
      </c>
      <c r="B186" s="7" t="str">
        <f t="shared" si="20"/>
        <v>#DIV/0!</v>
      </c>
    </row>
    <row r="187" ht="15.75" customHeight="1"/>
    <row r="188" ht="15.75" customHeight="1">
      <c r="A188" s="27" t="s">
        <v>30</v>
      </c>
      <c r="B188" s="7" t="str">
        <f>AVERAGE(B183:B186)</f>
        <v>#DIV/0!</v>
      </c>
    </row>
    <row r="189" ht="15.75" customHeight="1">
      <c r="A189" s="27" t="s">
        <v>33</v>
      </c>
      <c r="B189" s="7" t="str">
        <f>(B188-4)/(4-1)</f>
        <v>#DIV/0!</v>
      </c>
    </row>
    <row r="190" ht="15.75" customHeight="1">
      <c r="A190" s="27" t="s">
        <v>34</v>
      </c>
      <c r="B190" s="7">
        <v>0.9</v>
      </c>
    </row>
    <row r="191" ht="15.75" customHeight="1">
      <c r="A191" s="27" t="s">
        <v>35</v>
      </c>
      <c r="B191" s="7" t="str">
        <f>B189/B190</f>
        <v>#DIV/0!</v>
      </c>
    </row>
    <row r="192" ht="15.75" customHeight="1">
      <c r="A192" s="27" t="s">
        <v>36</v>
      </c>
      <c r="B192" s="7" t="str">
        <f>IF(B191&lt;=0.1,"Да","Нет")</f>
        <v>#DIV/0!</v>
      </c>
    </row>
    <row r="193" ht="15.75" customHeight="1"/>
    <row r="194" ht="15.75" customHeight="1">
      <c r="A194" s="34"/>
    </row>
    <row r="195" ht="15.75" customHeight="1">
      <c r="A195" s="35" t="s">
        <v>51</v>
      </c>
      <c r="B195" s="6"/>
      <c r="C195" s="6"/>
    </row>
    <row r="196" ht="15.75" customHeight="1">
      <c r="A196" s="36" t="s">
        <v>52</v>
      </c>
      <c r="B196" s="36" t="s">
        <v>53</v>
      </c>
      <c r="C196" s="36" t="s">
        <v>54</v>
      </c>
      <c r="D196" s="36" t="s">
        <v>55</v>
      </c>
      <c r="E196" s="36" t="s">
        <v>56</v>
      </c>
      <c r="F196" s="36" t="s">
        <v>57</v>
      </c>
      <c r="G196" s="36" t="s">
        <v>58</v>
      </c>
    </row>
    <row r="197" ht="15.75" customHeight="1">
      <c r="A197" s="9" t="s">
        <v>11</v>
      </c>
      <c r="B197" s="7" t="str">
        <f t="shared" ref="B197:B200" si="21">B57</f>
        <v>#DIV/0!</v>
      </c>
      <c r="C197" s="7" t="str">
        <f t="shared" ref="C197:C200" si="22">B95</f>
        <v>#DIV/0!</v>
      </c>
      <c r="D197" s="7" t="str">
        <f t="shared" ref="D197:D200" si="23">B133</f>
        <v>#DIV/0!</v>
      </c>
      <c r="E197" s="7" t="str">
        <f t="shared" ref="E197:E200" si="24">B171</f>
        <v>#DIV/0!</v>
      </c>
      <c r="F197" s="7" t="str">
        <f t="shared" ref="F197:F200" si="25">$B$19*B197+$B$20*C197+$B$21*D197+$B$22*E197</f>
        <v>#DIV/0!</v>
      </c>
      <c r="G197" s="7" t="str">
        <f t="shared" ref="G197:G200" si="26">RANK(F197,$F$197:$F$200)</f>
        <v>#DIV/0!</v>
      </c>
    </row>
    <row r="198" ht="15.75" customHeight="1">
      <c r="A198" s="9" t="s">
        <v>14</v>
      </c>
      <c r="B198" s="7" t="str">
        <f t="shared" si="21"/>
        <v>#DIV/0!</v>
      </c>
      <c r="C198" s="7" t="str">
        <f t="shared" si="22"/>
        <v>#DIV/0!</v>
      </c>
      <c r="D198" s="7" t="str">
        <f t="shared" si="23"/>
        <v>#DIV/0!</v>
      </c>
      <c r="E198" s="7" t="str">
        <f t="shared" si="24"/>
        <v>#DIV/0!</v>
      </c>
      <c r="F198" s="7" t="str">
        <f t="shared" si="25"/>
        <v>#DIV/0!</v>
      </c>
      <c r="G198" s="7" t="str">
        <f t="shared" si="26"/>
        <v>#DIV/0!</v>
      </c>
    </row>
    <row r="199" ht="15.75" customHeight="1">
      <c r="A199" s="9" t="s">
        <v>17</v>
      </c>
      <c r="B199" s="7" t="str">
        <f t="shared" si="21"/>
        <v>#DIV/0!</v>
      </c>
      <c r="C199" s="7" t="str">
        <f t="shared" si="22"/>
        <v>#DIV/0!</v>
      </c>
      <c r="D199" s="7" t="str">
        <f t="shared" si="23"/>
        <v>#DIV/0!</v>
      </c>
      <c r="E199" s="7" t="str">
        <f t="shared" si="24"/>
        <v>#DIV/0!</v>
      </c>
      <c r="F199" s="7" t="str">
        <f t="shared" si="25"/>
        <v>#DIV/0!</v>
      </c>
      <c r="G199" s="7" t="str">
        <f t="shared" si="26"/>
        <v>#DIV/0!</v>
      </c>
    </row>
    <row r="200" ht="15.75" customHeight="1">
      <c r="A200" s="9" t="s">
        <v>20</v>
      </c>
      <c r="B200" s="7" t="str">
        <f t="shared" si="21"/>
        <v>#DIV/0!</v>
      </c>
      <c r="C200" s="7" t="str">
        <f t="shared" si="22"/>
        <v>#DIV/0!</v>
      </c>
      <c r="D200" s="7" t="str">
        <f t="shared" si="23"/>
        <v>#DIV/0!</v>
      </c>
      <c r="E200" s="7" t="str">
        <f t="shared" si="24"/>
        <v>#DIV/0!</v>
      </c>
      <c r="F200" s="7" t="str">
        <f t="shared" si="25"/>
        <v>#DIV/0!</v>
      </c>
      <c r="G200" s="7" t="str">
        <f t="shared" si="26"/>
        <v>#DIV/0!</v>
      </c>
    </row>
    <row r="201" ht="15.75" customHeight="1">
      <c r="A201" s="3"/>
    </row>
    <row r="202" ht="15.75" customHeight="1"/>
    <row r="203" ht="15.75" customHeight="1"/>
    <row r="204" ht="15.75" customHeight="1"/>
    <row r="205" ht="15.75" customHeight="1"/>
    <row r="206" ht="15.75" customHeight="1">
      <c r="A206" s="3"/>
    </row>
    <row r="207" ht="15.75" customHeight="1"/>
    <row r="208" ht="15.75" customHeight="1">
      <c r="A208" s="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>
      <c r="A214" s="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71"/>
    <col customWidth="1" min="3" max="3" width="24.0"/>
    <col customWidth="1" min="4" max="4" width="21.71"/>
    <col customWidth="1" min="5" max="7" width="12.0"/>
    <col customWidth="1" min="8" max="25" width="8.71"/>
  </cols>
  <sheetData>
    <row r="1">
      <c r="A1" s="1" t="s">
        <v>0</v>
      </c>
    </row>
    <row r="2">
      <c r="A2" s="3" t="s">
        <v>2</v>
      </c>
    </row>
    <row r="4">
      <c r="A4" s="4" t="s">
        <v>4</v>
      </c>
      <c r="B4" s="6"/>
      <c r="C4" s="6"/>
      <c r="D4" s="6"/>
    </row>
    <row r="5">
      <c r="A5" s="7"/>
      <c r="B5" s="8" t="s">
        <v>6</v>
      </c>
      <c r="C5" s="8" t="s">
        <v>7</v>
      </c>
      <c r="D5" s="8" t="s">
        <v>8</v>
      </c>
      <c r="E5" s="8" t="s">
        <v>9</v>
      </c>
    </row>
    <row r="6">
      <c r="A6" s="9" t="s">
        <v>6</v>
      </c>
      <c r="B6" s="10">
        <v>1.0</v>
      </c>
      <c r="C6" s="12">
        <v>0.0</v>
      </c>
      <c r="D6" s="12">
        <v>0.0</v>
      </c>
      <c r="E6" s="12">
        <v>0.0</v>
      </c>
    </row>
    <row r="7">
      <c r="A7" s="9" t="s">
        <v>7</v>
      </c>
      <c r="B7" s="10" t="str">
        <f>1/C6</f>
        <v>#DIV/0!</v>
      </c>
      <c r="C7" s="10">
        <v>1.0</v>
      </c>
      <c r="D7" s="12">
        <v>0.0</v>
      </c>
      <c r="E7" s="12">
        <v>0.0</v>
      </c>
    </row>
    <row r="8">
      <c r="A8" s="9" t="s">
        <v>8</v>
      </c>
      <c r="B8" s="7" t="str">
        <f>1/D6</f>
        <v>#DIV/0!</v>
      </c>
      <c r="C8" s="7" t="str">
        <f>1/D7</f>
        <v>#DIV/0!</v>
      </c>
      <c r="D8" s="10">
        <v>1.0</v>
      </c>
      <c r="E8" s="12">
        <v>0.0</v>
      </c>
    </row>
    <row r="9">
      <c r="A9" s="9" t="s">
        <v>9</v>
      </c>
      <c r="B9" s="7" t="str">
        <f>1/E6</f>
        <v>#DIV/0!</v>
      </c>
      <c r="C9" s="7" t="str">
        <f>1/E7</f>
        <v>#DIV/0!</v>
      </c>
      <c r="D9" s="7" t="str">
        <f>1/E8</f>
        <v>#DIV/0!</v>
      </c>
      <c r="E9" s="10">
        <v>1.0</v>
      </c>
    </row>
    <row r="11">
      <c r="A11" s="16" t="s">
        <v>22</v>
      </c>
    </row>
    <row r="12">
      <c r="A12" s="9" t="s">
        <v>6</v>
      </c>
      <c r="B12" s="7">
        <f t="shared" ref="B12:B15" si="1">PRODUCT(B6:E6)^(1/4)</f>
        <v>0</v>
      </c>
    </row>
    <row r="13">
      <c r="A13" s="9" t="s">
        <v>7</v>
      </c>
      <c r="B13" s="7" t="str">
        <f t="shared" si="1"/>
        <v>#DIV/0!</v>
      </c>
    </row>
    <row r="14">
      <c r="A14" s="9" t="s">
        <v>8</v>
      </c>
      <c r="B14" s="7" t="str">
        <f t="shared" si="1"/>
        <v>#DIV/0!</v>
      </c>
    </row>
    <row r="15">
      <c r="A15" s="9" t="s">
        <v>9</v>
      </c>
      <c r="B15" s="7" t="str">
        <f t="shared" si="1"/>
        <v>#DIV/0!</v>
      </c>
    </row>
    <row r="16">
      <c r="A16" s="19" t="s">
        <v>24</v>
      </c>
      <c r="B16" s="7" t="str">
        <f>SUM(B12:B15)</f>
        <v>#DIV/0!</v>
      </c>
    </row>
    <row r="18">
      <c r="A18" s="16" t="s">
        <v>26</v>
      </c>
      <c r="B18" s="6"/>
    </row>
    <row r="19" ht="15.75" customHeight="1">
      <c r="A19" s="21" t="s">
        <v>6</v>
      </c>
      <c r="B19" s="22" t="str">
        <f t="shared" ref="B19:B22" si="2">B12/$B$16</f>
        <v>#DIV/0!</v>
      </c>
    </row>
    <row r="20" ht="15.75" customHeight="1">
      <c r="A20" s="21" t="s">
        <v>7</v>
      </c>
      <c r="B20" s="22" t="str">
        <f t="shared" si="2"/>
        <v>#DIV/0!</v>
      </c>
    </row>
    <row r="21" ht="15.75" customHeight="1">
      <c r="A21" s="21" t="s">
        <v>8</v>
      </c>
      <c r="B21" s="22" t="str">
        <f t="shared" si="2"/>
        <v>#DIV/0!</v>
      </c>
    </row>
    <row r="22" ht="15.75" customHeight="1">
      <c r="A22" s="21" t="s">
        <v>9</v>
      </c>
      <c r="B22" s="22" t="str">
        <f t="shared" si="2"/>
        <v>#DIV/0!</v>
      </c>
    </row>
    <row r="23" ht="15.75" customHeight="1"/>
    <row r="24" ht="15.75" customHeight="1">
      <c r="A24" s="16" t="s">
        <v>27</v>
      </c>
      <c r="B24" s="6"/>
      <c r="C24" s="6"/>
    </row>
    <row r="25" ht="15.75" customHeight="1">
      <c r="A25" s="21" t="s">
        <v>6</v>
      </c>
      <c r="B25" s="22" t="str">
        <f t="shared" ref="B25:B28" si="3">SUMPRODUCT(B6:E6,$B$19:$B$22)</f>
        <v>#DIV/0!</v>
      </c>
    </row>
    <row r="26" ht="15.75" customHeight="1">
      <c r="A26" s="21" t="s">
        <v>7</v>
      </c>
      <c r="B26" s="22" t="str">
        <f t="shared" si="3"/>
        <v>#DIV/0!</v>
      </c>
    </row>
    <row r="27" ht="15.75" customHeight="1">
      <c r="A27" s="21" t="s">
        <v>8</v>
      </c>
      <c r="B27" s="22" t="str">
        <f t="shared" si="3"/>
        <v>#DIV/0!</v>
      </c>
    </row>
    <row r="28" ht="15.75" customHeight="1">
      <c r="A28" s="21" t="s">
        <v>9</v>
      </c>
      <c r="B28" s="22" t="str">
        <f t="shared" si="3"/>
        <v>#DIV/0!</v>
      </c>
    </row>
    <row r="29" ht="15.75" customHeight="1"/>
    <row r="30" ht="15.75" customHeight="1">
      <c r="A30" s="16" t="s">
        <v>28</v>
      </c>
    </row>
    <row r="31" ht="15.75" customHeight="1">
      <c r="A31" s="21" t="s">
        <v>6</v>
      </c>
      <c r="B31" s="22" t="str">
        <f t="shared" ref="B31:B34" si="4">B25/B19</f>
        <v>#DIV/0!</v>
      </c>
    </row>
    <row r="32" ht="15.75" customHeight="1">
      <c r="A32" s="21" t="s">
        <v>7</v>
      </c>
      <c r="B32" s="22" t="str">
        <f t="shared" si="4"/>
        <v>#DIV/0!</v>
      </c>
    </row>
    <row r="33" ht="15.75" customHeight="1">
      <c r="A33" s="21" t="s">
        <v>8</v>
      </c>
      <c r="B33" s="22" t="str">
        <f t="shared" si="4"/>
        <v>#DIV/0!</v>
      </c>
    </row>
    <row r="34" ht="15.75" customHeight="1">
      <c r="A34" s="21" t="s">
        <v>9</v>
      </c>
      <c r="B34" s="22" t="str">
        <f t="shared" si="4"/>
        <v>#DIV/0!</v>
      </c>
    </row>
    <row r="35" ht="15.75" customHeight="1"/>
    <row r="36" ht="15.75" customHeight="1">
      <c r="A36" s="27" t="s">
        <v>30</v>
      </c>
      <c r="B36" s="7" t="str">
        <f>AVERAGE(B31:B34)</f>
        <v>#DIV/0!</v>
      </c>
    </row>
    <row r="37" ht="15.75" customHeight="1">
      <c r="A37" s="27" t="s">
        <v>33</v>
      </c>
      <c r="B37" s="7" t="str">
        <f>(B36-4)/(4-1)</f>
        <v>#DIV/0!</v>
      </c>
    </row>
    <row r="38" ht="15.75" customHeight="1">
      <c r="A38" s="27" t="s">
        <v>34</v>
      </c>
      <c r="B38" s="7">
        <v>1.12</v>
      </c>
    </row>
    <row r="39" ht="15.75" customHeight="1">
      <c r="A39" s="27" t="s">
        <v>35</v>
      </c>
      <c r="B39" s="7" t="str">
        <f>B37/B38</f>
        <v>#DIV/0!</v>
      </c>
    </row>
    <row r="40" ht="15.75" customHeight="1">
      <c r="A40" s="27" t="s">
        <v>36</v>
      </c>
      <c r="B40" s="7" t="str">
        <f>IF(B39&lt;=0.1,"Да","Нет")</f>
        <v>#DIV/0!</v>
      </c>
    </row>
    <row r="41" ht="15.75" customHeight="1"/>
    <row r="42" ht="15.75" customHeight="1">
      <c r="A42" s="4" t="s">
        <v>37</v>
      </c>
      <c r="B42" s="6"/>
      <c r="C42" s="6"/>
      <c r="D42" s="6"/>
    </row>
    <row r="43" ht="15.75" customHeight="1">
      <c r="A43" s="7"/>
      <c r="B43" s="8" t="s">
        <v>11</v>
      </c>
      <c r="C43" s="8" t="s">
        <v>14</v>
      </c>
      <c r="D43" s="8" t="s">
        <v>17</v>
      </c>
      <c r="E43" s="8" t="s">
        <v>20</v>
      </c>
    </row>
    <row r="44" ht="15.75" customHeight="1">
      <c r="A44" s="9" t="s">
        <v>11</v>
      </c>
      <c r="B44" s="10">
        <v>1.0</v>
      </c>
      <c r="C44" s="12">
        <v>0.0</v>
      </c>
      <c r="D44" s="12">
        <v>0.0</v>
      </c>
      <c r="E44" s="12">
        <v>0.0</v>
      </c>
    </row>
    <row r="45" ht="15.75" customHeight="1">
      <c r="A45" s="9" t="s">
        <v>14</v>
      </c>
      <c r="B45" s="10" t="str">
        <f>1/C44</f>
        <v>#DIV/0!</v>
      </c>
      <c r="C45" s="10">
        <v>1.0</v>
      </c>
      <c r="D45" s="12">
        <v>0.0</v>
      </c>
      <c r="E45" s="12">
        <v>0.0</v>
      </c>
    </row>
    <row r="46" ht="15.75" customHeight="1">
      <c r="A46" s="9" t="s">
        <v>17</v>
      </c>
      <c r="B46" s="7" t="str">
        <f>1/D44</f>
        <v>#DIV/0!</v>
      </c>
      <c r="C46" s="7" t="str">
        <f>1/D45</f>
        <v>#DIV/0!</v>
      </c>
      <c r="D46" s="10">
        <v>1.0</v>
      </c>
      <c r="E46" s="12">
        <v>0.0</v>
      </c>
    </row>
    <row r="47" ht="15.75" customHeight="1">
      <c r="A47" s="9" t="s">
        <v>20</v>
      </c>
      <c r="B47" s="7" t="str">
        <f>1/E44</f>
        <v>#DIV/0!</v>
      </c>
      <c r="C47" s="7" t="str">
        <f>1/E45</f>
        <v>#DIV/0!</v>
      </c>
      <c r="D47" s="7" t="str">
        <f>1/E46</f>
        <v>#DIV/0!</v>
      </c>
      <c r="E47" s="10">
        <v>1.0</v>
      </c>
    </row>
    <row r="48" ht="15.75" customHeight="1"/>
    <row r="49" ht="15.75" customHeight="1">
      <c r="A49" s="16" t="s">
        <v>22</v>
      </c>
    </row>
    <row r="50" ht="15.75" customHeight="1">
      <c r="A50" s="9" t="s">
        <v>11</v>
      </c>
      <c r="B50" s="7">
        <f t="shared" ref="B50:B53" si="5">PRODUCT(B44:E44)^(1/4)</f>
        <v>0</v>
      </c>
    </row>
    <row r="51" ht="15.75" customHeight="1">
      <c r="A51" s="9" t="s">
        <v>14</v>
      </c>
      <c r="B51" s="7" t="str">
        <f t="shared" si="5"/>
        <v>#DIV/0!</v>
      </c>
    </row>
    <row r="52" ht="15.75" customHeight="1">
      <c r="A52" s="9" t="s">
        <v>17</v>
      </c>
      <c r="B52" s="7" t="str">
        <f t="shared" si="5"/>
        <v>#DIV/0!</v>
      </c>
    </row>
    <row r="53" ht="15.75" customHeight="1">
      <c r="A53" s="9" t="s">
        <v>20</v>
      </c>
      <c r="B53" s="7" t="str">
        <f t="shared" si="5"/>
        <v>#DIV/0!</v>
      </c>
    </row>
    <row r="54" ht="15.75" customHeight="1">
      <c r="A54" s="27" t="s">
        <v>24</v>
      </c>
      <c r="B54" s="7" t="str">
        <f>SUM(B50:B53)</f>
        <v>#DIV/0!</v>
      </c>
    </row>
    <row r="55" ht="15.75" customHeight="1"/>
    <row r="56" ht="15.75" customHeight="1">
      <c r="A56" s="16" t="s">
        <v>26</v>
      </c>
      <c r="B56" s="6"/>
    </row>
    <row r="57" ht="15.75" customHeight="1">
      <c r="A57" s="9" t="s">
        <v>11</v>
      </c>
      <c r="B57" s="7" t="str">
        <f t="shared" ref="B57:B60" si="6">B50/$B$54</f>
        <v>#DIV/0!</v>
      </c>
    </row>
    <row r="58" ht="15.75" customHeight="1">
      <c r="A58" s="9" t="s">
        <v>14</v>
      </c>
      <c r="B58" s="7" t="str">
        <f t="shared" si="6"/>
        <v>#DIV/0!</v>
      </c>
    </row>
    <row r="59" ht="15.75" customHeight="1">
      <c r="A59" s="9" t="s">
        <v>17</v>
      </c>
      <c r="B59" s="7" t="str">
        <f t="shared" si="6"/>
        <v>#DIV/0!</v>
      </c>
    </row>
    <row r="60" ht="15.75" customHeight="1">
      <c r="A60" s="9" t="s">
        <v>20</v>
      </c>
      <c r="B60" s="7" t="str">
        <f t="shared" si="6"/>
        <v>#DIV/0!</v>
      </c>
    </row>
    <row r="61" ht="15.75" customHeight="1"/>
    <row r="62" ht="15.75" customHeight="1">
      <c r="A62" s="16" t="s">
        <v>27</v>
      </c>
      <c r="B62" s="6"/>
      <c r="C62" s="6"/>
    </row>
    <row r="63" ht="15.75" customHeight="1">
      <c r="A63" s="9" t="s">
        <v>11</v>
      </c>
      <c r="B63" s="7" t="str">
        <f t="shared" ref="B63:B66" si="7">SUMPRODUCT(B44:E44,$B$57:$B$60)</f>
        <v>#DIV/0!</v>
      </c>
    </row>
    <row r="64" ht="15.75" customHeight="1">
      <c r="A64" s="9" t="s">
        <v>14</v>
      </c>
      <c r="B64" s="7" t="str">
        <f t="shared" si="7"/>
        <v>#DIV/0!</v>
      </c>
    </row>
    <row r="65" ht="15.75" customHeight="1">
      <c r="A65" s="9" t="s">
        <v>17</v>
      </c>
      <c r="B65" s="7" t="str">
        <f t="shared" si="7"/>
        <v>#DIV/0!</v>
      </c>
    </row>
    <row r="66" ht="15.75" customHeight="1">
      <c r="A66" s="9" t="s">
        <v>20</v>
      </c>
      <c r="B66" s="7" t="str">
        <f t="shared" si="7"/>
        <v>#DIV/0!</v>
      </c>
    </row>
    <row r="67" ht="15.75" customHeight="1"/>
    <row r="68" ht="15.75" customHeight="1">
      <c r="A68" s="16" t="s">
        <v>28</v>
      </c>
    </row>
    <row r="69" ht="15.75" customHeight="1">
      <c r="A69" s="9" t="s">
        <v>11</v>
      </c>
      <c r="B69" s="7" t="str">
        <f t="shared" ref="B69:B72" si="8">B63/B57</f>
        <v>#DIV/0!</v>
      </c>
    </row>
    <row r="70" ht="15.75" customHeight="1">
      <c r="A70" s="9" t="s">
        <v>14</v>
      </c>
      <c r="B70" s="7" t="str">
        <f t="shared" si="8"/>
        <v>#DIV/0!</v>
      </c>
    </row>
    <row r="71" ht="15.75" customHeight="1">
      <c r="A71" s="9" t="s">
        <v>17</v>
      </c>
      <c r="B71" s="7" t="str">
        <f t="shared" si="8"/>
        <v>#DIV/0!</v>
      </c>
    </row>
    <row r="72" ht="15.75" customHeight="1">
      <c r="A72" s="9" t="s">
        <v>20</v>
      </c>
      <c r="B72" s="7" t="str">
        <f t="shared" si="8"/>
        <v>#DIV/0!</v>
      </c>
    </row>
    <row r="73" ht="15.75" customHeight="1"/>
    <row r="74" ht="15.75" customHeight="1">
      <c r="A74" s="27" t="s">
        <v>30</v>
      </c>
      <c r="B74" s="7" t="str">
        <f>AVERAGE(B69:B72)</f>
        <v>#DIV/0!</v>
      </c>
    </row>
    <row r="75" ht="15.75" customHeight="1">
      <c r="A75" s="27" t="s">
        <v>33</v>
      </c>
      <c r="B75" s="7" t="str">
        <f>(B74-4)/(4-1)</f>
        <v>#DIV/0!</v>
      </c>
    </row>
    <row r="76" ht="15.75" customHeight="1">
      <c r="A76" s="27" t="s">
        <v>34</v>
      </c>
      <c r="B76" s="7">
        <v>0.9</v>
      </c>
    </row>
    <row r="77" ht="15.75" customHeight="1">
      <c r="A77" s="27" t="s">
        <v>35</v>
      </c>
      <c r="B77" s="7" t="str">
        <f>B75/B76</f>
        <v>#DIV/0!</v>
      </c>
    </row>
    <row r="78" ht="15.75" customHeight="1">
      <c r="A78" s="27" t="s">
        <v>36</v>
      </c>
      <c r="B78" s="7" t="str">
        <f>IF(B77&lt;=0.1,"Да","Нет")</f>
        <v>#DIV/0!</v>
      </c>
    </row>
    <row r="79" ht="15.75" customHeight="1"/>
    <row r="80" ht="15.75" customHeight="1">
      <c r="A80" s="4" t="s">
        <v>43</v>
      </c>
      <c r="B80" s="6"/>
      <c r="C80" s="6"/>
    </row>
    <row r="81" ht="15.75" customHeight="1">
      <c r="A81" s="7"/>
      <c r="B81" s="8" t="s">
        <v>11</v>
      </c>
      <c r="C81" s="8" t="s">
        <v>14</v>
      </c>
      <c r="D81" s="8" t="s">
        <v>17</v>
      </c>
      <c r="E81" s="8" t="s">
        <v>20</v>
      </c>
    </row>
    <row r="82" ht="15.75" customHeight="1">
      <c r="A82" s="9" t="s">
        <v>11</v>
      </c>
      <c r="B82" s="10">
        <v>1.0</v>
      </c>
      <c r="C82" s="12">
        <v>0.0</v>
      </c>
      <c r="D82" s="12">
        <v>0.0</v>
      </c>
      <c r="E82" s="12">
        <v>0.0</v>
      </c>
    </row>
    <row r="83" ht="15.75" customHeight="1">
      <c r="A83" s="9" t="s">
        <v>14</v>
      </c>
      <c r="B83" s="10" t="str">
        <f>1/C82</f>
        <v>#DIV/0!</v>
      </c>
      <c r="C83" s="10">
        <v>1.0</v>
      </c>
      <c r="D83" s="12">
        <v>0.0</v>
      </c>
      <c r="E83" s="12">
        <v>0.0</v>
      </c>
    </row>
    <row r="84" ht="15.75" customHeight="1">
      <c r="A84" s="9" t="s">
        <v>17</v>
      </c>
      <c r="B84" s="7" t="str">
        <f>1/D82</f>
        <v>#DIV/0!</v>
      </c>
      <c r="C84" s="7" t="str">
        <f>1/D83</f>
        <v>#DIV/0!</v>
      </c>
      <c r="D84" s="10">
        <v>1.0</v>
      </c>
      <c r="E84" s="12">
        <v>0.0</v>
      </c>
    </row>
    <row r="85" ht="15.75" customHeight="1">
      <c r="A85" s="9" t="s">
        <v>20</v>
      </c>
      <c r="B85" s="7" t="str">
        <f>1/E82</f>
        <v>#DIV/0!</v>
      </c>
      <c r="C85" s="7" t="str">
        <f>1/E83</f>
        <v>#DIV/0!</v>
      </c>
      <c r="D85" s="7" t="str">
        <f>1/E84</f>
        <v>#DIV/0!</v>
      </c>
      <c r="E85" s="10">
        <v>1.0</v>
      </c>
    </row>
    <row r="86" ht="15.75" customHeight="1"/>
    <row r="87" ht="15.75" customHeight="1">
      <c r="A87" s="16" t="s">
        <v>22</v>
      </c>
    </row>
    <row r="88" ht="15.75" customHeight="1">
      <c r="A88" s="9" t="s">
        <v>11</v>
      </c>
      <c r="B88" s="7">
        <f t="shared" ref="B88:B91" si="9">PRODUCT(B82:E82)^(1/4)</f>
        <v>0</v>
      </c>
    </row>
    <row r="89" ht="15.75" customHeight="1">
      <c r="A89" s="9" t="s">
        <v>14</v>
      </c>
      <c r="B89" s="7" t="str">
        <f t="shared" si="9"/>
        <v>#DIV/0!</v>
      </c>
    </row>
    <row r="90" ht="15.75" customHeight="1">
      <c r="A90" s="9" t="s">
        <v>17</v>
      </c>
      <c r="B90" s="7" t="str">
        <f t="shared" si="9"/>
        <v>#DIV/0!</v>
      </c>
    </row>
    <row r="91" ht="15.75" customHeight="1">
      <c r="A91" s="9" t="s">
        <v>20</v>
      </c>
      <c r="B91" s="7" t="str">
        <f t="shared" si="9"/>
        <v>#DIV/0!</v>
      </c>
    </row>
    <row r="92" ht="15.75" customHeight="1">
      <c r="A92" s="27" t="s">
        <v>24</v>
      </c>
      <c r="B92" s="7" t="str">
        <f>SUM(B88:B91)</f>
        <v>#DIV/0!</v>
      </c>
    </row>
    <row r="93" ht="15.75" customHeight="1"/>
    <row r="94" ht="15.75" customHeight="1">
      <c r="A94" s="16" t="s">
        <v>26</v>
      </c>
      <c r="B94" s="6"/>
    </row>
    <row r="95" ht="15.75" customHeight="1">
      <c r="A95" s="9" t="s">
        <v>11</v>
      </c>
      <c r="B95" s="7" t="str">
        <f t="shared" ref="B95:B98" si="10">B88/$B$92</f>
        <v>#DIV/0!</v>
      </c>
    </row>
    <row r="96" ht="15.75" customHeight="1">
      <c r="A96" s="9" t="s">
        <v>14</v>
      </c>
      <c r="B96" s="7" t="str">
        <f t="shared" si="10"/>
        <v>#DIV/0!</v>
      </c>
    </row>
    <row r="97" ht="15.75" customHeight="1">
      <c r="A97" s="9" t="s">
        <v>17</v>
      </c>
      <c r="B97" s="7" t="str">
        <f t="shared" si="10"/>
        <v>#DIV/0!</v>
      </c>
    </row>
    <row r="98" ht="15.75" customHeight="1">
      <c r="A98" s="9" t="s">
        <v>20</v>
      </c>
      <c r="B98" s="7" t="str">
        <f t="shared" si="10"/>
        <v>#DIV/0!</v>
      </c>
    </row>
    <row r="99" ht="15.75" customHeight="1"/>
    <row r="100" ht="15.75" customHeight="1">
      <c r="A100" s="16" t="s">
        <v>27</v>
      </c>
      <c r="B100" s="6"/>
      <c r="C100" s="6"/>
    </row>
    <row r="101" ht="15.75" customHeight="1">
      <c r="A101" s="9" t="s">
        <v>11</v>
      </c>
      <c r="B101" s="7" t="str">
        <f t="shared" ref="B101:B104" si="11">SUMPRODUCT(B82:E82,$B$95:$B$98)</f>
        <v>#DIV/0!</v>
      </c>
    </row>
    <row r="102" ht="15.75" customHeight="1">
      <c r="A102" s="9" t="s">
        <v>14</v>
      </c>
      <c r="B102" s="7" t="str">
        <f t="shared" si="11"/>
        <v>#DIV/0!</v>
      </c>
    </row>
    <row r="103" ht="15.75" customHeight="1">
      <c r="A103" s="9" t="s">
        <v>17</v>
      </c>
      <c r="B103" s="7" t="str">
        <f t="shared" si="11"/>
        <v>#DIV/0!</v>
      </c>
    </row>
    <row r="104" ht="15.75" customHeight="1">
      <c r="A104" s="9" t="s">
        <v>20</v>
      </c>
      <c r="B104" s="7" t="str">
        <f t="shared" si="11"/>
        <v>#DIV/0!</v>
      </c>
    </row>
    <row r="105" ht="15.75" customHeight="1"/>
    <row r="106" ht="15.75" customHeight="1">
      <c r="A106" s="16" t="s">
        <v>28</v>
      </c>
    </row>
    <row r="107" ht="15.75" customHeight="1">
      <c r="A107" s="9" t="s">
        <v>11</v>
      </c>
      <c r="B107" s="7" t="str">
        <f t="shared" ref="B107:B110" si="12">B101/B95</f>
        <v>#DIV/0!</v>
      </c>
    </row>
    <row r="108" ht="15.75" customHeight="1">
      <c r="A108" s="9" t="s">
        <v>14</v>
      </c>
      <c r="B108" s="7" t="str">
        <f t="shared" si="12"/>
        <v>#DIV/0!</v>
      </c>
    </row>
    <row r="109" ht="15.75" customHeight="1">
      <c r="A109" s="9" t="s">
        <v>17</v>
      </c>
      <c r="B109" s="7" t="str">
        <f t="shared" si="12"/>
        <v>#DIV/0!</v>
      </c>
    </row>
    <row r="110" ht="15.75" customHeight="1">
      <c r="A110" s="9" t="s">
        <v>20</v>
      </c>
      <c r="B110" s="7" t="str">
        <f t="shared" si="12"/>
        <v>#DIV/0!</v>
      </c>
    </row>
    <row r="111" ht="15.75" customHeight="1"/>
    <row r="112" ht="15.75" customHeight="1">
      <c r="A112" s="27" t="s">
        <v>30</v>
      </c>
      <c r="B112" s="7" t="str">
        <f>AVERAGE(B107:B110)</f>
        <v>#DIV/0!</v>
      </c>
    </row>
    <row r="113" ht="15.75" customHeight="1">
      <c r="A113" s="27" t="s">
        <v>33</v>
      </c>
      <c r="B113" s="7" t="str">
        <f>(B112-4)/(4-1)</f>
        <v>#DIV/0!</v>
      </c>
    </row>
    <row r="114" ht="15.75" customHeight="1">
      <c r="A114" s="27" t="s">
        <v>34</v>
      </c>
      <c r="B114" s="7">
        <v>0.9</v>
      </c>
    </row>
    <row r="115" ht="15.75" customHeight="1">
      <c r="A115" s="27" t="s">
        <v>35</v>
      </c>
      <c r="B115" s="7" t="str">
        <f>B113/B114</f>
        <v>#DIV/0!</v>
      </c>
    </row>
    <row r="116" ht="15.75" customHeight="1">
      <c r="A116" s="27" t="s">
        <v>36</v>
      </c>
      <c r="B116" s="7" t="str">
        <f>IF(B115&lt;=0.1,"Да","Нет")</f>
        <v>#DIV/0!</v>
      </c>
    </row>
    <row r="117" ht="15.75" customHeight="1"/>
    <row r="118" ht="15.75" customHeight="1">
      <c r="A118" s="4" t="s">
        <v>48</v>
      </c>
      <c r="B118" s="6"/>
      <c r="C118" s="6"/>
    </row>
    <row r="119" ht="15.75" customHeight="1">
      <c r="A119" s="7"/>
      <c r="B119" s="8" t="s">
        <v>11</v>
      </c>
      <c r="C119" s="8" t="s">
        <v>14</v>
      </c>
      <c r="D119" s="8" t="s">
        <v>17</v>
      </c>
      <c r="E119" s="8" t="s">
        <v>20</v>
      </c>
    </row>
    <row r="120" ht="15.75" customHeight="1">
      <c r="A120" s="9" t="s">
        <v>11</v>
      </c>
      <c r="B120" s="10">
        <v>1.0</v>
      </c>
      <c r="C120" s="12">
        <v>0.0</v>
      </c>
      <c r="D120" s="12">
        <v>0.0</v>
      </c>
      <c r="E120" s="12">
        <v>0.0</v>
      </c>
    </row>
    <row r="121" ht="15.75" customHeight="1">
      <c r="A121" s="9" t="s">
        <v>14</v>
      </c>
      <c r="B121" s="10" t="str">
        <f>1/C120</f>
        <v>#DIV/0!</v>
      </c>
      <c r="C121" s="10">
        <v>1.0</v>
      </c>
      <c r="D121" s="12">
        <v>0.0</v>
      </c>
      <c r="E121" s="12">
        <v>0.0</v>
      </c>
    </row>
    <row r="122" ht="15.75" customHeight="1">
      <c r="A122" s="9" t="s">
        <v>17</v>
      </c>
      <c r="B122" s="7" t="str">
        <f>1/D120</f>
        <v>#DIV/0!</v>
      </c>
      <c r="C122" s="7" t="str">
        <f>1/D121</f>
        <v>#DIV/0!</v>
      </c>
      <c r="D122" s="10">
        <v>1.0</v>
      </c>
      <c r="E122" s="12">
        <v>0.0</v>
      </c>
    </row>
    <row r="123" ht="15.75" customHeight="1">
      <c r="A123" s="9" t="s">
        <v>20</v>
      </c>
      <c r="B123" s="7" t="str">
        <f>1/E120</f>
        <v>#DIV/0!</v>
      </c>
      <c r="C123" s="7" t="str">
        <f>1/E121</f>
        <v>#DIV/0!</v>
      </c>
      <c r="D123" s="7" t="str">
        <f>1/E122</f>
        <v>#DIV/0!</v>
      </c>
      <c r="E123" s="10">
        <v>1.0</v>
      </c>
    </row>
    <row r="124" ht="15.75" customHeight="1"/>
    <row r="125" ht="15.75" customHeight="1">
      <c r="A125" s="16" t="s">
        <v>22</v>
      </c>
    </row>
    <row r="126" ht="15.75" customHeight="1">
      <c r="A126" s="9" t="s">
        <v>11</v>
      </c>
      <c r="B126" s="7">
        <f t="shared" ref="B126:B129" si="13">PRODUCT(B120:E120)^(1/4)</f>
        <v>0</v>
      </c>
    </row>
    <row r="127" ht="15.75" customHeight="1">
      <c r="A127" s="9" t="s">
        <v>14</v>
      </c>
      <c r="B127" s="7" t="str">
        <f t="shared" si="13"/>
        <v>#DIV/0!</v>
      </c>
    </row>
    <row r="128" ht="15.75" customHeight="1">
      <c r="A128" s="9" t="s">
        <v>17</v>
      </c>
      <c r="B128" s="7" t="str">
        <f t="shared" si="13"/>
        <v>#DIV/0!</v>
      </c>
    </row>
    <row r="129" ht="15.75" customHeight="1">
      <c r="A129" s="9" t="s">
        <v>20</v>
      </c>
      <c r="B129" s="7" t="str">
        <f t="shared" si="13"/>
        <v>#DIV/0!</v>
      </c>
    </row>
    <row r="130" ht="15.75" customHeight="1">
      <c r="A130" s="27" t="s">
        <v>24</v>
      </c>
      <c r="B130" s="7" t="str">
        <f>SUM(B126:B129)</f>
        <v>#DIV/0!</v>
      </c>
    </row>
    <row r="131" ht="15.75" customHeight="1"/>
    <row r="132" ht="15.75" customHeight="1">
      <c r="A132" s="16" t="s">
        <v>26</v>
      </c>
      <c r="B132" s="6"/>
    </row>
    <row r="133" ht="15.75" customHeight="1">
      <c r="A133" s="9" t="s">
        <v>11</v>
      </c>
      <c r="B133" s="7" t="str">
        <f t="shared" ref="B133:B136" si="14">B126/$B$130</f>
        <v>#DIV/0!</v>
      </c>
    </row>
    <row r="134" ht="15.75" customHeight="1">
      <c r="A134" s="9" t="s">
        <v>14</v>
      </c>
      <c r="B134" s="7" t="str">
        <f t="shared" si="14"/>
        <v>#DIV/0!</v>
      </c>
    </row>
    <row r="135" ht="15.75" customHeight="1">
      <c r="A135" s="9" t="s">
        <v>17</v>
      </c>
      <c r="B135" s="7" t="str">
        <f t="shared" si="14"/>
        <v>#DIV/0!</v>
      </c>
    </row>
    <row r="136" ht="15.75" customHeight="1">
      <c r="A136" s="9" t="s">
        <v>20</v>
      </c>
      <c r="B136" s="7" t="str">
        <f t="shared" si="14"/>
        <v>#DIV/0!</v>
      </c>
    </row>
    <row r="137" ht="15.75" customHeight="1"/>
    <row r="138" ht="15.75" customHeight="1">
      <c r="A138" s="16" t="s">
        <v>27</v>
      </c>
      <c r="B138" s="6"/>
      <c r="C138" s="6"/>
    </row>
    <row r="139" ht="15.75" customHeight="1">
      <c r="A139" s="9" t="s">
        <v>11</v>
      </c>
      <c r="B139" s="7" t="str">
        <f t="shared" ref="B139:B142" si="15">SUMPRODUCT(B120:E120,$B$133:$B$136)</f>
        <v>#DIV/0!</v>
      </c>
    </row>
    <row r="140" ht="15.75" customHeight="1">
      <c r="A140" s="9" t="s">
        <v>14</v>
      </c>
      <c r="B140" s="7" t="str">
        <f t="shared" si="15"/>
        <v>#DIV/0!</v>
      </c>
    </row>
    <row r="141" ht="15.75" customHeight="1">
      <c r="A141" s="9" t="s">
        <v>17</v>
      </c>
      <c r="B141" s="7" t="str">
        <f t="shared" si="15"/>
        <v>#DIV/0!</v>
      </c>
    </row>
    <row r="142" ht="15.75" customHeight="1">
      <c r="A142" s="9" t="s">
        <v>20</v>
      </c>
      <c r="B142" s="7" t="str">
        <f t="shared" si="15"/>
        <v>#DIV/0!</v>
      </c>
    </row>
    <row r="143" ht="15.75" customHeight="1"/>
    <row r="144" ht="15.75" customHeight="1">
      <c r="A144" s="16" t="s">
        <v>28</v>
      </c>
    </row>
    <row r="145" ht="15.75" customHeight="1">
      <c r="A145" s="9" t="s">
        <v>11</v>
      </c>
      <c r="B145" s="7" t="str">
        <f t="shared" ref="B145:B148" si="16">B139/B133</f>
        <v>#DIV/0!</v>
      </c>
    </row>
    <row r="146" ht="15.75" customHeight="1">
      <c r="A146" s="9" t="s">
        <v>14</v>
      </c>
      <c r="B146" s="7" t="str">
        <f t="shared" si="16"/>
        <v>#DIV/0!</v>
      </c>
    </row>
    <row r="147" ht="15.75" customHeight="1">
      <c r="A147" s="9" t="s">
        <v>17</v>
      </c>
      <c r="B147" s="7" t="str">
        <f t="shared" si="16"/>
        <v>#DIV/0!</v>
      </c>
    </row>
    <row r="148" ht="15.75" customHeight="1">
      <c r="A148" s="9" t="s">
        <v>20</v>
      </c>
      <c r="B148" s="7" t="str">
        <f t="shared" si="16"/>
        <v>#DIV/0!</v>
      </c>
    </row>
    <row r="149" ht="15.75" customHeight="1"/>
    <row r="150" ht="15.75" customHeight="1">
      <c r="A150" s="27" t="s">
        <v>30</v>
      </c>
      <c r="B150" s="7" t="str">
        <f>AVERAGE(B145:B148)</f>
        <v>#DIV/0!</v>
      </c>
    </row>
    <row r="151" ht="15.75" customHeight="1">
      <c r="A151" s="27" t="s">
        <v>33</v>
      </c>
      <c r="B151" s="7" t="str">
        <f>(B150-4)/(4-1)</f>
        <v>#DIV/0!</v>
      </c>
    </row>
    <row r="152" ht="15.75" customHeight="1">
      <c r="A152" s="27" t="s">
        <v>34</v>
      </c>
      <c r="B152" s="7">
        <v>0.9</v>
      </c>
    </row>
    <row r="153" ht="15.75" customHeight="1">
      <c r="A153" s="27" t="s">
        <v>35</v>
      </c>
      <c r="B153" s="7" t="str">
        <f>B151/B152</f>
        <v>#DIV/0!</v>
      </c>
    </row>
    <row r="154" ht="15.75" customHeight="1">
      <c r="A154" s="27" t="s">
        <v>36</v>
      </c>
      <c r="B154" s="7" t="str">
        <f>IF(B153&lt;=0.1,"Да","Нет")</f>
        <v>#DIV/0!</v>
      </c>
    </row>
    <row r="155" ht="15.75" customHeight="1"/>
    <row r="156" ht="15.75" customHeight="1">
      <c r="A156" s="4" t="s">
        <v>50</v>
      </c>
      <c r="B156" s="6"/>
      <c r="C156" s="6"/>
    </row>
    <row r="157" ht="15.75" customHeight="1">
      <c r="A157" s="7"/>
      <c r="B157" s="8" t="s">
        <v>11</v>
      </c>
      <c r="C157" s="8" t="s">
        <v>14</v>
      </c>
      <c r="D157" s="8" t="s">
        <v>17</v>
      </c>
      <c r="E157" s="8" t="s">
        <v>20</v>
      </c>
    </row>
    <row r="158" ht="15.75" customHeight="1">
      <c r="A158" s="9" t="s">
        <v>11</v>
      </c>
      <c r="B158" s="10">
        <v>1.0</v>
      </c>
      <c r="C158" s="12">
        <v>0.0</v>
      </c>
      <c r="D158" s="12">
        <v>0.0</v>
      </c>
      <c r="E158" s="12">
        <v>0.0</v>
      </c>
    </row>
    <row r="159" ht="15.75" customHeight="1">
      <c r="A159" s="9" t="s">
        <v>14</v>
      </c>
      <c r="B159" s="10" t="str">
        <f>1/C158</f>
        <v>#DIV/0!</v>
      </c>
      <c r="C159" s="10">
        <v>1.0</v>
      </c>
      <c r="D159" s="12">
        <v>0.0</v>
      </c>
      <c r="E159" s="12">
        <v>0.0</v>
      </c>
    </row>
    <row r="160" ht="15.75" customHeight="1">
      <c r="A160" s="9" t="s">
        <v>17</v>
      </c>
      <c r="B160" s="7" t="str">
        <f>1/D158</f>
        <v>#DIV/0!</v>
      </c>
      <c r="C160" s="7" t="str">
        <f>1/D159</f>
        <v>#DIV/0!</v>
      </c>
      <c r="D160" s="10">
        <v>1.0</v>
      </c>
      <c r="E160" s="12">
        <v>0.0</v>
      </c>
    </row>
    <row r="161" ht="15.75" customHeight="1">
      <c r="A161" s="9" t="s">
        <v>20</v>
      </c>
      <c r="B161" s="7" t="str">
        <f>1/E158</f>
        <v>#DIV/0!</v>
      </c>
      <c r="C161" s="7" t="str">
        <f>1/E159</f>
        <v>#DIV/0!</v>
      </c>
      <c r="D161" s="7" t="str">
        <f>1/E160</f>
        <v>#DIV/0!</v>
      </c>
      <c r="E161" s="10">
        <v>1.0</v>
      </c>
    </row>
    <row r="162" ht="15.75" customHeight="1"/>
    <row r="163" ht="15.75" customHeight="1">
      <c r="A163" s="16" t="s">
        <v>22</v>
      </c>
    </row>
    <row r="164" ht="15.75" customHeight="1">
      <c r="A164" s="9" t="s">
        <v>11</v>
      </c>
      <c r="B164" s="7">
        <f t="shared" ref="B164:B167" si="17">PRODUCT(B158:E158)^(1/4)</f>
        <v>0</v>
      </c>
    </row>
    <row r="165" ht="15.75" customHeight="1">
      <c r="A165" s="9" t="s">
        <v>14</v>
      </c>
      <c r="B165" s="7" t="str">
        <f t="shared" si="17"/>
        <v>#DIV/0!</v>
      </c>
    </row>
    <row r="166" ht="15.75" customHeight="1">
      <c r="A166" s="9" t="s">
        <v>17</v>
      </c>
      <c r="B166" s="7" t="str">
        <f t="shared" si="17"/>
        <v>#DIV/0!</v>
      </c>
    </row>
    <row r="167" ht="15.75" customHeight="1">
      <c r="A167" s="9" t="s">
        <v>20</v>
      </c>
      <c r="B167" s="7" t="str">
        <f t="shared" si="17"/>
        <v>#DIV/0!</v>
      </c>
    </row>
    <row r="168" ht="15.75" customHeight="1">
      <c r="A168" s="27" t="s">
        <v>24</v>
      </c>
      <c r="B168" s="7" t="str">
        <f>SUM(B164:B167)</f>
        <v>#DIV/0!</v>
      </c>
    </row>
    <row r="169" ht="15.75" customHeight="1"/>
    <row r="170" ht="15.75" customHeight="1">
      <c r="A170" s="16" t="s">
        <v>26</v>
      </c>
      <c r="B170" s="6"/>
    </row>
    <row r="171" ht="15.75" customHeight="1">
      <c r="A171" s="9" t="s">
        <v>11</v>
      </c>
      <c r="B171" s="7" t="str">
        <f t="shared" ref="B171:B174" si="18">B164/$B$168</f>
        <v>#DIV/0!</v>
      </c>
    </row>
    <row r="172" ht="15.75" customHeight="1">
      <c r="A172" s="9" t="s">
        <v>14</v>
      </c>
      <c r="B172" s="7" t="str">
        <f t="shared" si="18"/>
        <v>#DIV/0!</v>
      </c>
    </row>
    <row r="173" ht="15.75" customHeight="1">
      <c r="A173" s="9" t="s">
        <v>17</v>
      </c>
      <c r="B173" s="7" t="str">
        <f t="shared" si="18"/>
        <v>#DIV/0!</v>
      </c>
    </row>
    <row r="174" ht="15.75" customHeight="1">
      <c r="A174" s="9" t="s">
        <v>20</v>
      </c>
      <c r="B174" s="7" t="str">
        <f t="shared" si="18"/>
        <v>#DIV/0!</v>
      </c>
    </row>
    <row r="175" ht="15.75" customHeight="1"/>
    <row r="176" ht="15.75" customHeight="1">
      <c r="A176" s="16" t="s">
        <v>27</v>
      </c>
      <c r="B176" s="6"/>
      <c r="C176" s="6"/>
    </row>
    <row r="177" ht="15.75" customHeight="1">
      <c r="A177" s="9" t="s">
        <v>11</v>
      </c>
      <c r="B177" s="7" t="str">
        <f t="shared" ref="B177:B180" si="19">SUMPRODUCT(B158:E158,$B$171:$B$174)</f>
        <v>#DIV/0!</v>
      </c>
    </row>
    <row r="178" ht="15.75" customHeight="1">
      <c r="A178" s="9" t="s">
        <v>14</v>
      </c>
      <c r="B178" s="7" t="str">
        <f t="shared" si="19"/>
        <v>#DIV/0!</v>
      </c>
    </row>
    <row r="179" ht="15.75" customHeight="1">
      <c r="A179" s="9" t="s">
        <v>17</v>
      </c>
      <c r="B179" s="7" t="str">
        <f t="shared" si="19"/>
        <v>#DIV/0!</v>
      </c>
    </row>
    <row r="180" ht="15.75" customHeight="1">
      <c r="A180" s="9" t="s">
        <v>20</v>
      </c>
      <c r="B180" s="7" t="str">
        <f t="shared" si="19"/>
        <v>#DIV/0!</v>
      </c>
    </row>
    <row r="181" ht="15.75" customHeight="1"/>
    <row r="182" ht="15.75" customHeight="1">
      <c r="A182" s="16" t="s">
        <v>28</v>
      </c>
    </row>
    <row r="183" ht="15.75" customHeight="1">
      <c r="A183" s="9" t="s">
        <v>11</v>
      </c>
      <c r="B183" s="7" t="str">
        <f t="shared" ref="B183:B186" si="20">B177/B171</f>
        <v>#DIV/0!</v>
      </c>
    </row>
    <row r="184" ht="15.75" customHeight="1">
      <c r="A184" s="9" t="s">
        <v>14</v>
      </c>
      <c r="B184" s="7" t="str">
        <f t="shared" si="20"/>
        <v>#DIV/0!</v>
      </c>
    </row>
    <row r="185" ht="15.75" customHeight="1">
      <c r="A185" s="9" t="s">
        <v>17</v>
      </c>
      <c r="B185" s="7" t="str">
        <f t="shared" si="20"/>
        <v>#DIV/0!</v>
      </c>
    </row>
    <row r="186" ht="15.75" customHeight="1">
      <c r="A186" s="9" t="s">
        <v>20</v>
      </c>
      <c r="B186" s="7" t="str">
        <f t="shared" si="20"/>
        <v>#DIV/0!</v>
      </c>
    </row>
    <row r="187" ht="15.75" customHeight="1"/>
    <row r="188" ht="15.75" customHeight="1">
      <c r="A188" s="27" t="s">
        <v>30</v>
      </c>
      <c r="B188" s="7" t="str">
        <f>AVERAGE(B183:B186)</f>
        <v>#DIV/0!</v>
      </c>
    </row>
    <row r="189" ht="15.75" customHeight="1">
      <c r="A189" s="27" t="s">
        <v>33</v>
      </c>
      <c r="B189" s="7" t="str">
        <f>(B188-4)/(4-1)</f>
        <v>#DIV/0!</v>
      </c>
    </row>
    <row r="190" ht="15.75" customHeight="1">
      <c r="A190" s="27" t="s">
        <v>34</v>
      </c>
      <c r="B190" s="7">
        <v>0.9</v>
      </c>
    </row>
    <row r="191" ht="15.75" customHeight="1">
      <c r="A191" s="27" t="s">
        <v>35</v>
      </c>
      <c r="B191" s="7" t="str">
        <f>B189/B190</f>
        <v>#DIV/0!</v>
      </c>
    </row>
    <row r="192" ht="15.75" customHeight="1">
      <c r="A192" s="27" t="s">
        <v>36</v>
      </c>
      <c r="B192" s="7" t="str">
        <f>IF(B191&lt;=0.1,"Да","Нет")</f>
        <v>#DIV/0!</v>
      </c>
    </row>
    <row r="193" ht="15.75" customHeight="1"/>
    <row r="194" ht="15.75" customHeight="1">
      <c r="A194" s="34"/>
    </row>
    <row r="195" ht="15.75" customHeight="1">
      <c r="A195" s="35" t="s">
        <v>51</v>
      </c>
      <c r="B195" s="6"/>
      <c r="C195" s="6"/>
    </row>
    <row r="196" ht="15.75" customHeight="1">
      <c r="A196" s="36" t="s">
        <v>52</v>
      </c>
      <c r="B196" s="36" t="s">
        <v>53</v>
      </c>
      <c r="C196" s="36" t="s">
        <v>54</v>
      </c>
      <c r="D196" s="36" t="s">
        <v>55</v>
      </c>
      <c r="E196" s="36" t="s">
        <v>56</v>
      </c>
      <c r="F196" s="36" t="s">
        <v>57</v>
      </c>
      <c r="G196" s="36" t="s">
        <v>58</v>
      </c>
    </row>
    <row r="197" ht="15.75" customHeight="1">
      <c r="A197" s="9" t="s">
        <v>11</v>
      </c>
      <c r="B197" s="7" t="str">
        <f t="shared" ref="B197:B200" si="21">B57</f>
        <v>#DIV/0!</v>
      </c>
      <c r="C197" s="7" t="str">
        <f t="shared" ref="C197:C200" si="22">B95</f>
        <v>#DIV/0!</v>
      </c>
      <c r="D197" s="7" t="str">
        <f t="shared" ref="D197:D200" si="23">B133</f>
        <v>#DIV/0!</v>
      </c>
      <c r="E197" s="7" t="str">
        <f t="shared" ref="E197:E200" si="24">B171</f>
        <v>#DIV/0!</v>
      </c>
      <c r="F197" s="7" t="str">
        <f t="shared" ref="F197:F200" si="25">$B$19*B197+$B$20*C197+$B$21*D197+$B$22*E197</f>
        <v>#DIV/0!</v>
      </c>
      <c r="G197" s="7" t="str">
        <f t="shared" ref="G197:G200" si="26">RANK(F197,$F$197:$F$200)</f>
        <v>#DIV/0!</v>
      </c>
    </row>
    <row r="198" ht="15.75" customHeight="1">
      <c r="A198" s="9" t="s">
        <v>14</v>
      </c>
      <c r="B198" s="7" t="str">
        <f t="shared" si="21"/>
        <v>#DIV/0!</v>
      </c>
      <c r="C198" s="7" t="str">
        <f t="shared" si="22"/>
        <v>#DIV/0!</v>
      </c>
      <c r="D198" s="7" t="str">
        <f t="shared" si="23"/>
        <v>#DIV/0!</v>
      </c>
      <c r="E198" s="7" t="str">
        <f t="shared" si="24"/>
        <v>#DIV/0!</v>
      </c>
      <c r="F198" s="7" t="str">
        <f t="shared" si="25"/>
        <v>#DIV/0!</v>
      </c>
      <c r="G198" s="7" t="str">
        <f t="shared" si="26"/>
        <v>#DIV/0!</v>
      </c>
    </row>
    <row r="199" ht="15.75" customHeight="1">
      <c r="A199" s="9" t="s">
        <v>17</v>
      </c>
      <c r="B199" s="7" t="str">
        <f t="shared" si="21"/>
        <v>#DIV/0!</v>
      </c>
      <c r="C199" s="7" t="str">
        <f t="shared" si="22"/>
        <v>#DIV/0!</v>
      </c>
      <c r="D199" s="7" t="str">
        <f t="shared" si="23"/>
        <v>#DIV/0!</v>
      </c>
      <c r="E199" s="7" t="str">
        <f t="shared" si="24"/>
        <v>#DIV/0!</v>
      </c>
      <c r="F199" s="7" t="str">
        <f t="shared" si="25"/>
        <v>#DIV/0!</v>
      </c>
      <c r="G199" s="7" t="str">
        <f t="shared" si="26"/>
        <v>#DIV/0!</v>
      </c>
    </row>
    <row r="200" ht="15.75" customHeight="1">
      <c r="A200" s="9" t="s">
        <v>20</v>
      </c>
      <c r="B200" s="7" t="str">
        <f t="shared" si="21"/>
        <v>#DIV/0!</v>
      </c>
      <c r="C200" s="7" t="str">
        <f t="shared" si="22"/>
        <v>#DIV/0!</v>
      </c>
      <c r="D200" s="7" t="str">
        <f t="shared" si="23"/>
        <v>#DIV/0!</v>
      </c>
      <c r="E200" s="7" t="str">
        <f t="shared" si="24"/>
        <v>#DIV/0!</v>
      </c>
      <c r="F200" s="7" t="str">
        <f t="shared" si="25"/>
        <v>#DIV/0!</v>
      </c>
      <c r="G200" s="7" t="str">
        <f t="shared" si="26"/>
        <v>#DIV/0!</v>
      </c>
    </row>
    <row r="201" ht="15.75" customHeight="1">
      <c r="A201" s="3"/>
    </row>
    <row r="202" ht="15.75" customHeight="1"/>
    <row r="203" ht="15.75" customHeight="1"/>
    <row r="204" ht="15.75" customHeight="1"/>
    <row r="205" ht="15.75" customHeight="1"/>
    <row r="206" ht="15.75" customHeight="1">
      <c r="A206" s="3"/>
    </row>
    <row r="207" ht="15.75" customHeight="1"/>
    <row r="208" ht="15.75" customHeight="1">
      <c r="A208" s="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>
      <c r="A214" s="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71"/>
    <col customWidth="1" min="3" max="3" width="24.0"/>
    <col customWidth="1" min="4" max="4" width="21.71"/>
    <col customWidth="1" min="5" max="7" width="12.0"/>
    <col customWidth="1" min="8" max="25" width="8.71"/>
  </cols>
  <sheetData>
    <row r="1">
      <c r="A1" s="1" t="s">
        <v>0</v>
      </c>
    </row>
    <row r="2">
      <c r="A2" s="3" t="s">
        <v>2</v>
      </c>
    </row>
    <row r="4">
      <c r="A4" s="4" t="s">
        <v>4</v>
      </c>
      <c r="B4" s="6"/>
      <c r="C4" s="6"/>
      <c r="D4" s="6"/>
    </row>
    <row r="5">
      <c r="A5" s="7"/>
      <c r="B5" s="8" t="s">
        <v>6</v>
      </c>
      <c r="C5" s="8" t="s">
        <v>7</v>
      </c>
      <c r="D5" s="8" t="s">
        <v>8</v>
      </c>
      <c r="E5" s="8" t="s">
        <v>9</v>
      </c>
    </row>
    <row r="6">
      <c r="A6" s="9" t="s">
        <v>6</v>
      </c>
      <c r="B6" s="10">
        <v>1.0</v>
      </c>
      <c r="C6" s="12">
        <f>('МАИ Эксперт 1'!C6 * 'МАИ (Эксперт 2)'!C6 * 'МАИ (Эксперт 3)'!C6)^(1/3)
</f>
        <v>0</v>
      </c>
      <c r="D6" s="12">
        <f>('МАИ Эксперт 1'!D6 * 'МАИ (Эксперт 2)'!D6 * 'МАИ (Эксперт 3)'!D6)^(1/3)
</f>
        <v>0</v>
      </c>
      <c r="E6" s="12">
        <f>('МАИ Эксперт 1'!E6 * 'МАИ (Эксперт 2)'!E6 * 'МАИ (Эксперт 3)'!E6)^(1/3)
</f>
        <v>0</v>
      </c>
    </row>
    <row r="7">
      <c r="A7" s="9" t="s">
        <v>7</v>
      </c>
      <c r="B7" s="10" t="str">
        <f>1/C6</f>
        <v>#DIV/0!</v>
      </c>
      <c r="C7" s="10">
        <v>1.0</v>
      </c>
      <c r="D7" s="12">
        <f>('МАИ Эксперт 1'!D7 * 'МАИ (Эксперт 2)'!D7 * 'МАИ (Эксперт 3)'!D7)^(1/3)
</f>
        <v>0</v>
      </c>
      <c r="E7" s="12">
        <f>('МАИ Эксперт 1'!E7 * 'МАИ (Эксперт 2)'!E7 * 'МАИ (Эксперт 3)'!E7)^(1/3)
</f>
        <v>0</v>
      </c>
    </row>
    <row r="8">
      <c r="A8" s="9" t="s">
        <v>8</v>
      </c>
      <c r="B8" s="7" t="str">
        <f>1/D6</f>
        <v>#DIV/0!</v>
      </c>
      <c r="C8" s="7" t="str">
        <f>1/D7</f>
        <v>#DIV/0!</v>
      </c>
      <c r="D8" s="10">
        <v>1.0</v>
      </c>
      <c r="E8" s="12">
        <f>('МАИ Эксперт 1'!E8 * 'МАИ (Эксперт 2)'!E8 * 'МАИ (Эксперт 3)'!E8)^(1/3)
</f>
        <v>0</v>
      </c>
    </row>
    <row r="9">
      <c r="A9" s="9" t="s">
        <v>9</v>
      </c>
      <c r="B9" s="7" t="str">
        <f>1/E6</f>
        <v>#DIV/0!</v>
      </c>
      <c r="C9" s="7" t="str">
        <f>1/E7</f>
        <v>#DIV/0!</v>
      </c>
      <c r="D9" s="7" t="str">
        <f>1/E8</f>
        <v>#DIV/0!</v>
      </c>
      <c r="E9" s="10">
        <v>1.0</v>
      </c>
    </row>
    <row r="11">
      <c r="A11" s="16" t="s">
        <v>22</v>
      </c>
    </row>
    <row r="12">
      <c r="A12" s="9" t="s">
        <v>6</v>
      </c>
      <c r="B12" s="7">
        <f t="shared" ref="B12:B15" si="1">PRODUCT(B6:E6)^(1/4)</f>
        <v>0</v>
      </c>
    </row>
    <row r="13">
      <c r="A13" s="9" t="s">
        <v>7</v>
      </c>
      <c r="B13" s="7" t="str">
        <f t="shared" si="1"/>
        <v>#DIV/0!</v>
      </c>
    </row>
    <row r="14">
      <c r="A14" s="9" t="s">
        <v>8</v>
      </c>
      <c r="B14" s="7" t="str">
        <f t="shared" si="1"/>
        <v>#DIV/0!</v>
      </c>
    </row>
    <row r="15">
      <c r="A15" s="9" t="s">
        <v>9</v>
      </c>
      <c r="B15" s="7" t="str">
        <f t="shared" si="1"/>
        <v>#DIV/0!</v>
      </c>
    </row>
    <row r="16">
      <c r="A16" s="19" t="s">
        <v>24</v>
      </c>
      <c r="B16" s="7" t="str">
        <f>SUM(B12:B15)</f>
        <v>#DIV/0!</v>
      </c>
    </row>
    <row r="18">
      <c r="A18" s="16" t="s">
        <v>26</v>
      </c>
      <c r="B18" s="6"/>
    </row>
    <row r="19" ht="15.75" customHeight="1">
      <c r="A19" s="21" t="s">
        <v>6</v>
      </c>
      <c r="B19" s="22" t="str">
        <f t="shared" ref="B19:B22" si="2">B12/$B$16</f>
        <v>#DIV/0!</v>
      </c>
    </row>
    <row r="20" ht="15.75" customHeight="1">
      <c r="A20" s="21" t="s">
        <v>7</v>
      </c>
      <c r="B20" s="22" t="str">
        <f t="shared" si="2"/>
        <v>#DIV/0!</v>
      </c>
    </row>
    <row r="21" ht="15.75" customHeight="1">
      <c r="A21" s="21" t="s">
        <v>8</v>
      </c>
      <c r="B21" s="22" t="str">
        <f t="shared" si="2"/>
        <v>#DIV/0!</v>
      </c>
    </row>
    <row r="22" ht="15.75" customHeight="1">
      <c r="A22" s="21" t="s">
        <v>9</v>
      </c>
      <c r="B22" s="22" t="str">
        <f t="shared" si="2"/>
        <v>#DIV/0!</v>
      </c>
    </row>
    <row r="23" ht="15.75" customHeight="1"/>
    <row r="24" ht="15.75" customHeight="1">
      <c r="A24" s="16" t="s">
        <v>27</v>
      </c>
      <c r="B24" s="6"/>
      <c r="C24" s="6"/>
    </row>
    <row r="25" ht="15.75" customHeight="1">
      <c r="A25" s="21" t="s">
        <v>6</v>
      </c>
      <c r="B25" s="22" t="str">
        <f t="shared" ref="B25:B28" si="3">SUMPRODUCT(B6:E6,$B$19:$B$22)</f>
        <v>#DIV/0!</v>
      </c>
    </row>
    <row r="26" ht="15.75" customHeight="1">
      <c r="A26" s="21" t="s">
        <v>7</v>
      </c>
      <c r="B26" s="22" t="str">
        <f t="shared" si="3"/>
        <v>#DIV/0!</v>
      </c>
    </row>
    <row r="27" ht="15.75" customHeight="1">
      <c r="A27" s="21" t="s">
        <v>8</v>
      </c>
      <c r="B27" s="22" t="str">
        <f t="shared" si="3"/>
        <v>#DIV/0!</v>
      </c>
    </row>
    <row r="28" ht="15.75" customHeight="1">
      <c r="A28" s="21" t="s">
        <v>9</v>
      </c>
      <c r="B28" s="22" t="str">
        <f t="shared" si="3"/>
        <v>#DIV/0!</v>
      </c>
    </row>
    <row r="29" ht="15.75" customHeight="1"/>
    <row r="30" ht="15.75" customHeight="1">
      <c r="A30" s="16" t="s">
        <v>28</v>
      </c>
    </row>
    <row r="31" ht="15.75" customHeight="1">
      <c r="A31" s="21" t="s">
        <v>6</v>
      </c>
      <c r="B31" s="22" t="str">
        <f t="shared" ref="B31:B34" si="4">B25/B19</f>
        <v>#DIV/0!</v>
      </c>
    </row>
    <row r="32" ht="15.75" customHeight="1">
      <c r="A32" s="21" t="s">
        <v>7</v>
      </c>
      <c r="B32" s="22" t="str">
        <f t="shared" si="4"/>
        <v>#DIV/0!</v>
      </c>
    </row>
    <row r="33" ht="15.75" customHeight="1">
      <c r="A33" s="21" t="s">
        <v>8</v>
      </c>
      <c r="B33" s="22" t="str">
        <f t="shared" si="4"/>
        <v>#DIV/0!</v>
      </c>
    </row>
    <row r="34" ht="15.75" customHeight="1">
      <c r="A34" s="21" t="s">
        <v>9</v>
      </c>
      <c r="B34" s="22" t="str">
        <f t="shared" si="4"/>
        <v>#DIV/0!</v>
      </c>
    </row>
    <row r="35" ht="15.75" customHeight="1"/>
    <row r="36" ht="15.75" customHeight="1">
      <c r="A36" s="27" t="s">
        <v>30</v>
      </c>
      <c r="B36" s="7" t="str">
        <f>AVERAGE(B31:B34)</f>
        <v>#DIV/0!</v>
      </c>
    </row>
    <row r="37" ht="15.75" customHeight="1">
      <c r="A37" s="27" t="s">
        <v>33</v>
      </c>
      <c r="B37" s="7" t="str">
        <f>(B36-4)/(4-1)</f>
        <v>#DIV/0!</v>
      </c>
    </row>
    <row r="38" ht="15.75" customHeight="1">
      <c r="A38" s="27" t="s">
        <v>34</v>
      </c>
      <c r="B38" s="7">
        <v>1.12</v>
      </c>
    </row>
    <row r="39" ht="15.75" customHeight="1">
      <c r="A39" s="27" t="s">
        <v>35</v>
      </c>
      <c r="B39" s="7" t="str">
        <f>B37/B38</f>
        <v>#DIV/0!</v>
      </c>
    </row>
    <row r="40" ht="15.75" customHeight="1">
      <c r="A40" s="27" t="s">
        <v>36</v>
      </c>
      <c r="B40" s="7" t="str">
        <f>IF(B39&lt;=0.1,"Да","Нет")</f>
        <v>#DIV/0!</v>
      </c>
    </row>
    <row r="41" ht="15.75" customHeight="1"/>
    <row r="42" ht="15.75" customHeight="1">
      <c r="A42" s="4" t="s">
        <v>37</v>
      </c>
      <c r="B42" s="6"/>
      <c r="C42" s="6"/>
      <c r="D42" s="6"/>
    </row>
    <row r="43" ht="15.75" customHeight="1">
      <c r="A43" s="7"/>
      <c r="B43" s="8" t="s">
        <v>11</v>
      </c>
      <c r="C43" s="8" t="s">
        <v>14</v>
      </c>
      <c r="D43" s="8" t="s">
        <v>17</v>
      </c>
      <c r="E43" s="8" t="s">
        <v>20</v>
      </c>
    </row>
    <row r="44" ht="15.75" customHeight="1">
      <c r="A44" s="9" t="s">
        <v>11</v>
      </c>
      <c r="B44" s="10">
        <v>1.0</v>
      </c>
      <c r="C44" s="12">
        <f>('МАИ Эксперт 1'!C44 * 'МАИ (Эксперт 2)'!C44 * 'МАИ (Эксперт 3)'!C44)^(1/3)
</f>
        <v>0</v>
      </c>
      <c r="D44" s="12">
        <f>('МАИ Эксперт 1'!D44 * 'МАИ (Эксперт 2)'!D44 * 'МАИ (Эксперт 3)'!D44)^(1/3)
</f>
        <v>0</v>
      </c>
      <c r="E44" s="12">
        <f>('МАИ Эксперт 1'!E44 * 'МАИ (Эксперт 2)'!E44 * 'МАИ (Эксперт 3)'!E44)^(1/3)
</f>
        <v>0</v>
      </c>
    </row>
    <row r="45" ht="15.75" customHeight="1">
      <c r="A45" s="9" t="s">
        <v>14</v>
      </c>
      <c r="B45" s="10" t="str">
        <f>1/C44</f>
        <v>#DIV/0!</v>
      </c>
      <c r="C45" s="10">
        <v>1.0</v>
      </c>
      <c r="D45" s="12">
        <f>('МАИ Эксперт 1'!D45 * 'МАИ (Эксперт 2)'!D45 * 'МАИ (Эксперт 3)'!D45)^(1/3)
</f>
        <v>0</v>
      </c>
      <c r="E45" s="12">
        <f>('МАИ Эксперт 1'!E45 * 'МАИ (Эксперт 2)'!E45 * 'МАИ (Эксперт 3)'!E45)^(1/3)
</f>
        <v>0</v>
      </c>
    </row>
    <row r="46" ht="15.75" customHeight="1">
      <c r="A46" s="9" t="s">
        <v>17</v>
      </c>
      <c r="B46" s="7" t="str">
        <f>1/D44</f>
        <v>#DIV/0!</v>
      </c>
      <c r="C46" s="7" t="str">
        <f>1/D45</f>
        <v>#DIV/0!</v>
      </c>
      <c r="D46" s="10">
        <v>1.0</v>
      </c>
      <c r="E46" s="12">
        <f>('МАИ Эксперт 1'!E46 * 'МАИ (Эксперт 2)'!E46 * 'МАИ (Эксперт 3)'!E46)^(1/3)
</f>
        <v>0</v>
      </c>
    </row>
    <row r="47" ht="15.75" customHeight="1">
      <c r="A47" s="9" t="s">
        <v>20</v>
      </c>
      <c r="B47" s="7" t="str">
        <f>1/E44</f>
        <v>#DIV/0!</v>
      </c>
      <c r="C47" s="7" t="str">
        <f>1/E45</f>
        <v>#DIV/0!</v>
      </c>
      <c r="D47" s="7" t="str">
        <f>1/E46</f>
        <v>#DIV/0!</v>
      </c>
      <c r="E47" s="10">
        <v>1.0</v>
      </c>
    </row>
    <row r="48" ht="15.75" customHeight="1"/>
    <row r="49" ht="15.75" customHeight="1">
      <c r="A49" s="16" t="s">
        <v>22</v>
      </c>
    </row>
    <row r="50" ht="15.75" customHeight="1">
      <c r="A50" s="9" t="s">
        <v>11</v>
      </c>
      <c r="B50" s="7">
        <f t="shared" ref="B50:B53" si="5">PRODUCT(B44:E44)^(1/4)</f>
        <v>0</v>
      </c>
    </row>
    <row r="51" ht="15.75" customHeight="1">
      <c r="A51" s="9" t="s">
        <v>14</v>
      </c>
      <c r="B51" s="7" t="str">
        <f t="shared" si="5"/>
        <v>#DIV/0!</v>
      </c>
    </row>
    <row r="52" ht="15.75" customHeight="1">
      <c r="A52" s="9" t="s">
        <v>17</v>
      </c>
      <c r="B52" s="7" t="str">
        <f t="shared" si="5"/>
        <v>#DIV/0!</v>
      </c>
    </row>
    <row r="53" ht="15.75" customHeight="1">
      <c r="A53" s="9" t="s">
        <v>20</v>
      </c>
      <c r="B53" s="7" t="str">
        <f t="shared" si="5"/>
        <v>#DIV/0!</v>
      </c>
    </row>
    <row r="54" ht="15.75" customHeight="1">
      <c r="A54" s="27" t="s">
        <v>24</v>
      </c>
      <c r="B54" s="7" t="str">
        <f>SUM(B50:B53)</f>
        <v>#DIV/0!</v>
      </c>
    </row>
    <row r="55" ht="15.75" customHeight="1"/>
    <row r="56" ht="15.75" customHeight="1">
      <c r="A56" s="16" t="s">
        <v>26</v>
      </c>
      <c r="B56" s="6"/>
    </row>
    <row r="57" ht="15.75" customHeight="1">
      <c r="A57" s="9" t="s">
        <v>11</v>
      </c>
      <c r="B57" s="7" t="str">
        <f t="shared" ref="B57:B60" si="6">B50/$B$54</f>
        <v>#DIV/0!</v>
      </c>
    </row>
    <row r="58" ht="15.75" customHeight="1">
      <c r="A58" s="9" t="s">
        <v>14</v>
      </c>
      <c r="B58" s="7" t="str">
        <f t="shared" si="6"/>
        <v>#DIV/0!</v>
      </c>
    </row>
    <row r="59" ht="15.75" customHeight="1">
      <c r="A59" s="9" t="s">
        <v>17</v>
      </c>
      <c r="B59" s="7" t="str">
        <f t="shared" si="6"/>
        <v>#DIV/0!</v>
      </c>
    </row>
    <row r="60" ht="15.75" customHeight="1">
      <c r="A60" s="9" t="s">
        <v>20</v>
      </c>
      <c r="B60" s="7" t="str">
        <f t="shared" si="6"/>
        <v>#DIV/0!</v>
      </c>
    </row>
    <row r="61" ht="15.75" customHeight="1"/>
    <row r="62" ht="15.75" customHeight="1">
      <c r="A62" s="16" t="s">
        <v>27</v>
      </c>
      <c r="B62" s="6"/>
      <c r="C62" s="6"/>
    </row>
    <row r="63" ht="15.75" customHeight="1">
      <c r="A63" s="9" t="s">
        <v>11</v>
      </c>
      <c r="B63" s="7" t="str">
        <f t="shared" ref="B63:B66" si="7">SUMPRODUCT(B44:E44,$B$57:$B$60)</f>
        <v>#DIV/0!</v>
      </c>
    </row>
    <row r="64" ht="15.75" customHeight="1">
      <c r="A64" s="9" t="s">
        <v>14</v>
      </c>
      <c r="B64" s="7" t="str">
        <f t="shared" si="7"/>
        <v>#DIV/0!</v>
      </c>
    </row>
    <row r="65" ht="15.75" customHeight="1">
      <c r="A65" s="9" t="s">
        <v>17</v>
      </c>
      <c r="B65" s="7" t="str">
        <f t="shared" si="7"/>
        <v>#DIV/0!</v>
      </c>
    </row>
    <row r="66" ht="15.75" customHeight="1">
      <c r="A66" s="9" t="s">
        <v>20</v>
      </c>
      <c r="B66" s="7" t="str">
        <f t="shared" si="7"/>
        <v>#DIV/0!</v>
      </c>
    </row>
    <row r="67" ht="15.75" customHeight="1"/>
    <row r="68" ht="15.75" customHeight="1">
      <c r="A68" s="16" t="s">
        <v>28</v>
      </c>
    </row>
    <row r="69" ht="15.75" customHeight="1">
      <c r="A69" s="9" t="s">
        <v>11</v>
      </c>
      <c r="B69" s="7" t="str">
        <f t="shared" ref="B69:B72" si="8">B63/B57</f>
        <v>#DIV/0!</v>
      </c>
    </row>
    <row r="70" ht="15.75" customHeight="1">
      <c r="A70" s="9" t="s">
        <v>14</v>
      </c>
      <c r="B70" s="7" t="str">
        <f t="shared" si="8"/>
        <v>#DIV/0!</v>
      </c>
    </row>
    <row r="71" ht="15.75" customHeight="1">
      <c r="A71" s="9" t="s">
        <v>17</v>
      </c>
      <c r="B71" s="7" t="str">
        <f t="shared" si="8"/>
        <v>#DIV/0!</v>
      </c>
    </row>
    <row r="72" ht="15.75" customHeight="1">
      <c r="A72" s="9" t="s">
        <v>20</v>
      </c>
      <c r="B72" s="7" t="str">
        <f t="shared" si="8"/>
        <v>#DIV/0!</v>
      </c>
    </row>
    <row r="73" ht="15.75" customHeight="1"/>
    <row r="74" ht="15.75" customHeight="1">
      <c r="A74" s="27" t="s">
        <v>30</v>
      </c>
      <c r="B74" s="7" t="str">
        <f>AVERAGE(B69:B72)</f>
        <v>#DIV/0!</v>
      </c>
    </row>
    <row r="75" ht="15.75" customHeight="1">
      <c r="A75" s="27" t="s">
        <v>33</v>
      </c>
      <c r="B75" s="7" t="str">
        <f>(B74-4)/(4-1)</f>
        <v>#DIV/0!</v>
      </c>
    </row>
    <row r="76" ht="15.75" customHeight="1">
      <c r="A76" s="27" t="s">
        <v>34</v>
      </c>
      <c r="B76" s="7">
        <v>0.9</v>
      </c>
    </row>
    <row r="77" ht="15.75" customHeight="1">
      <c r="A77" s="27" t="s">
        <v>35</v>
      </c>
      <c r="B77" s="7" t="str">
        <f>B75/B76</f>
        <v>#DIV/0!</v>
      </c>
    </row>
    <row r="78" ht="15.75" customHeight="1">
      <c r="A78" s="27" t="s">
        <v>36</v>
      </c>
      <c r="B78" s="7" t="str">
        <f>IF(B77&lt;=0.1,"Да","Нет")</f>
        <v>#DIV/0!</v>
      </c>
    </row>
    <row r="79" ht="15.75" customHeight="1"/>
    <row r="80" ht="15.75" customHeight="1">
      <c r="A80" s="4" t="s">
        <v>43</v>
      </c>
      <c r="B80" s="6"/>
      <c r="C80" s="6"/>
    </row>
    <row r="81" ht="15.75" customHeight="1">
      <c r="A81" s="7"/>
      <c r="B81" s="8" t="s">
        <v>11</v>
      </c>
      <c r="C81" s="8" t="s">
        <v>14</v>
      </c>
      <c r="D81" s="8" t="s">
        <v>17</v>
      </c>
      <c r="E81" s="8" t="s">
        <v>20</v>
      </c>
    </row>
    <row r="82" ht="15.75" customHeight="1">
      <c r="A82" s="9" t="s">
        <v>11</v>
      </c>
      <c r="B82" s="10">
        <v>1.0</v>
      </c>
      <c r="C82" s="12">
        <f>('МАИ Эксперт 1'!C82 * 'МАИ (Эксперт 2)'!C82 * 'МАИ (Эксперт 3)'!C82)^(1/3)
</f>
        <v>0</v>
      </c>
      <c r="D82" s="12">
        <f>('МАИ Эксперт 1'!D82 * 'МАИ (Эксперт 2)'!D82 * 'МАИ (Эксперт 3)'!D82)^(1/3)
</f>
        <v>0</v>
      </c>
      <c r="E82" s="12">
        <f>('МАИ Эксперт 1'!E82 * 'МАИ (Эксперт 2)'!E82 * 'МАИ (Эксперт 3)'!E82)^(1/3)
</f>
        <v>0</v>
      </c>
    </row>
    <row r="83" ht="15.75" customHeight="1">
      <c r="A83" s="9" t="s">
        <v>14</v>
      </c>
      <c r="B83" s="10" t="str">
        <f>1/C82</f>
        <v>#DIV/0!</v>
      </c>
      <c r="C83" s="10">
        <v>1.0</v>
      </c>
      <c r="D83" s="12">
        <f>('МАИ Эксперт 1'!D83 * 'МАИ (Эксперт 2)'!D83 * 'МАИ (Эксперт 3)'!D83)^(1/3)
</f>
        <v>0</v>
      </c>
      <c r="E83" s="12">
        <f>('МАИ Эксперт 1'!E83 * 'МАИ (Эксперт 2)'!E83 * 'МАИ (Эксперт 3)'!E83)^(1/3)
</f>
        <v>0</v>
      </c>
    </row>
    <row r="84" ht="15.75" customHeight="1">
      <c r="A84" s="9" t="s">
        <v>17</v>
      </c>
      <c r="B84" s="7" t="str">
        <f>1/D82</f>
        <v>#DIV/0!</v>
      </c>
      <c r="C84" s="7" t="str">
        <f>1/D83</f>
        <v>#DIV/0!</v>
      </c>
      <c r="D84" s="10">
        <v>1.0</v>
      </c>
      <c r="E84" s="12">
        <f>('МАИ Эксперт 1'!E84 * 'МАИ (Эксперт 2)'!E84 * 'МАИ (Эксперт 3)'!E84)^(1/3)
</f>
        <v>0</v>
      </c>
    </row>
    <row r="85" ht="15.75" customHeight="1">
      <c r="A85" s="9" t="s">
        <v>20</v>
      </c>
      <c r="B85" s="7" t="str">
        <f>1/E82</f>
        <v>#DIV/0!</v>
      </c>
      <c r="C85" s="7" t="str">
        <f>1/E83</f>
        <v>#DIV/0!</v>
      </c>
      <c r="D85" s="7" t="str">
        <f>1/E84</f>
        <v>#DIV/0!</v>
      </c>
      <c r="E85" s="10">
        <v>1.0</v>
      </c>
    </row>
    <row r="86" ht="15.75" customHeight="1"/>
    <row r="87" ht="15.75" customHeight="1">
      <c r="A87" s="16" t="s">
        <v>22</v>
      </c>
    </row>
    <row r="88" ht="15.75" customHeight="1">
      <c r="A88" s="9" t="s">
        <v>11</v>
      </c>
      <c r="B88" s="7">
        <f t="shared" ref="B88:B91" si="9">PRODUCT(B82:E82)^(1/4)</f>
        <v>0</v>
      </c>
    </row>
    <row r="89" ht="15.75" customHeight="1">
      <c r="A89" s="9" t="s">
        <v>14</v>
      </c>
      <c r="B89" s="7" t="str">
        <f t="shared" si="9"/>
        <v>#DIV/0!</v>
      </c>
    </row>
    <row r="90" ht="15.75" customHeight="1">
      <c r="A90" s="9" t="s">
        <v>17</v>
      </c>
      <c r="B90" s="7" t="str">
        <f t="shared" si="9"/>
        <v>#DIV/0!</v>
      </c>
    </row>
    <row r="91" ht="15.75" customHeight="1">
      <c r="A91" s="9" t="s">
        <v>20</v>
      </c>
      <c r="B91" s="7" t="str">
        <f t="shared" si="9"/>
        <v>#DIV/0!</v>
      </c>
    </row>
    <row r="92" ht="15.75" customHeight="1">
      <c r="A92" s="27" t="s">
        <v>24</v>
      </c>
      <c r="B92" s="7" t="str">
        <f>SUM(B88:B91)</f>
        <v>#DIV/0!</v>
      </c>
    </row>
    <row r="93" ht="15.75" customHeight="1"/>
    <row r="94" ht="15.75" customHeight="1">
      <c r="A94" s="16" t="s">
        <v>26</v>
      </c>
      <c r="B94" s="6"/>
    </row>
    <row r="95" ht="15.75" customHeight="1">
      <c r="A95" s="9" t="s">
        <v>11</v>
      </c>
      <c r="B95" s="7" t="str">
        <f t="shared" ref="B95:B98" si="10">B88/$B$92</f>
        <v>#DIV/0!</v>
      </c>
    </row>
    <row r="96" ht="15.75" customHeight="1">
      <c r="A96" s="9" t="s">
        <v>14</v>
      </c>
      <c r="B96" s="7" t="str">
        <f t="shared" si="10"/>
        <v>#DIV/0!</v>
      </c>
    </row>
    <row r="97" ht="15.75" customHeight="1">
      <c r="A97" s="9" t="s">
        <v>17</v>
      </c>
      <c r="B97" s="7" t="str">
        <f t="shared" si="10"/>
        <v>#DIV/0!</v>
      </c>
    </row>
    <row r="98" ht="15.75" customHeight="1">
      <c r="A98" s="9" t="s">
        <v>20</v>
      </c>
      <c r="B98" s="7" t="str">
        <f t="shared" si="10"/>
        <v>#DIV/0!</v>
      </c>
    </row>
    <row r="99" ht="15.75" customHeight="1"/>
    <row r="100" ht="15.75" customHeight="1">
      <c r="A100" s="16" t="s">
        <v>27</v>
      </c>
      <c r="B100" s="6"/>
      <c r="C100" s="6"/>
    </row>
    <row r="101" ht="15.75" customHeight="1">
      <c r="A101" s="9" t="s">
        <v>11</v>
      </c>
      <c r="B101" s="7" t="str">
        <f t="shared" ref="B101:B104" si="11">SUMPRODUCT(B82:E82,$B$95:$B$98)</f>
        <v>#DIV/0!</v>
      </c>
    </row>
    <row r="102" ht="15.75" customHeight="1">
      <c r="A102" s="9" t="s">
        <v>14</v>
      </c>
      <c r="B102" s="7" t="str">
        <f t="shared" si="11"/>
        <v>#DIV/0!</v>
      </c>
    </row>
    <row r="103" ht="15.75" customHeight="1">
      <c r="A103" s="9" t="s">
        <v>17</v>
      </c>
      <c r="B103" s="7" t="str">
        <f t="shared" si="11"/>
        <v>#DIV/0!</v>
      </c>
    </row>
    <row r="104" ht="15.75" customHeight="1">
      <c r="A104" s="9" t="s">
        <v>20</v>
      </c>
      <c r="B104" s="7" t="str">
        <f t="shared" si="11"/>
        <v>#DIV/0!</v>
      </c>
    </row>
    <row r="105" ht="15.75" customHeight="1"/>
    <row r="106" ht="15.75" customHeight="1">
      <c r="A106" s="16" t="s">
        <v>28</v>
      </c>
    </row>
    <row r="107" ht="15.75" customHeight="1">
      <c r="A107" s="9" t="s">
        <v>11</v>
      </c>
      <c r="B107" s="7" t="str">
        <f t="shared" ref="B107:B110" si="12">B101/B95</f>
        <v>#DIV/0!</v>
      </c>
    </row>
    <row r="108" ht="15.75" customHeight="1">
      <c r="A108" s="9" t="s">
        <v>14</v>
      </c>
      <c r="B108" s="7" t="str">
        <f t="shared" si="12"/>
        <v>#DIV/0!</v>
      </c>
    </row>
    <row r="109" ht="15.75" customHeight="1">
      <c r="A109" s="9" t="s">
        <v>17</v>
      </c>
      <c r="B109" s="7" t="str">
        <f t="shared" si="12"/>
        <v>#DIV/0!</v>
      </c>
    </row>
    <row r="110" ht="15.75" customHeight="1">
      <c r="A110" s="9" t="s">
        <v>20</v>
      </c>
      <c r="B110" s="7" t="str">
        <f t="shared" si="12"/>
        <v>#DIV/0!</v>
      </c>
    </row>
    <row r="111" ht="15.75" customHeight="1"/>
    <row r="112" ht="15.75" customHeight="1">
      <c r="A112" s="27" t="s">
        <v>30</v>
      </c>
      <c r="B112" s="7" t="str">
        <f>AVERAGE(B107:B110)</f>
        <v>#DIV/0!</v>
      </c>
    </row>
    <row r="113" ht="15.75" customHeight="1">
      <c r="A113" s="27" t="s">
        <v>33</v>
      </c>
      <c r="B113" s="7" t="str">
        <f>(B112-4)/(4-1)</f>
        <v>#DIV/0!</v>
      </c>
    </row>
    <row r="114" ht="15.75" customHeight="1">
      <c r="A114" s="27" t="s">
        <v>34</v>
      </c>
      <c r="B114" s="7">
        <v>0.9</v>
      </c>
    </row>
    <row r="115" ht="15.75" customHeight="1">
      <c r="A115" s="27" t="s">
        <v>35</v>
      </c>
      <c r="B115" s="7" t="str">
        <f>B113/B114</f>
        <v>#DIV/0!</v>
      </c>
    </row>
    <row r="116" ht="15.75" customHeight="1">
      <c r="A116" s="27" t="s">
        <v>36</v>
      </c>
      <c r="B116" s="7" t="str">
        <f>IF(B115&lt;=0.1,"Да","Нет")</f>
        <v>#DIV/0!</v>
      </c>
    </row>
    <row r="117" ht="15.75" customHeight="1"/>
    <row r="118" ht="15.75" customHeight="1">
      <c r="A118" s="4" t="s">
        <v>48</v>
      </c>
      <c r="B118" s="6"/>
      <c r="C118" s="6"/>
    </row>
    <row r="119" ht="15.75" customHeight="1">
      <c r="A119" s="7"/>
      <c r="B119" s="8" t="s">
        <v>11</v>
      </c>
      <c r="C119" s="8" t="s">
        <v>14</v>
      </c>
      <c r="D119" s="8" t="s">
        <v>17</v>
      </c>
      <c r="E119" s="8" t="s">
        <v>20</v>
      </c>
    </row>
    <row r="120" ht="15.75" customHeight="1">
      <c r="A120" s="9" t="s">
        <v>11</v>
      </c>
      <c r="B120" s="10">
        <v>1.0</v>
      </c>
      <c r="C120" s="12">
        <f>('МАИ Эксперт 1'!C120 * 'МАИ (Эксперт 2)'!C120 * 'МАИ (Эксперт 3)'!C120)^(1/3)
</f>
        <v>0</v>
      </c>
      <c r="D120" s="12">
        <f>('МАИ Эксперт 1'!D120 * 'МАИ (Эксперт 2)'!D120 * 'МАИ (Эксперт 3)'!D120)^(1/3)
</f>
        <v>0</v>
      </c>
      <c r="E120" s="12">
        <f>('МАИ Эксперт 1'!E120 * 'МАИ (Эксперт 2)'!E120 * 'МАИ (Эксперт 3)'!E120)^(1/3)
</f>
        <v>0</v>
      </c>
    </row>
    <row r="121" ht="15.75" customHeight="1">
      <c r="A121" s="9" t="s">
        <v>14</v>
      </c>
      <c r="B121" s="10" t="str">
        <f>1/C120</f>
        <v>#DIV/0!</v>
      </c>
      <c r="C121" s="10">
        <v>1.0</v>
      </c>
      <c r="D121" s="12">
        <f>('МАИ Эксперт 1'!D121 * 'МАИ (Эксперт 2)'!D121 * 'МАИ (Эксперт 3)'!D121)^(1/3)
</f>
        <v>0</v>
      </c>
      <c r="E121" s="12">
        <f>('МАИ Эксперт 1'!E121 * 'МАИ (Эксперт 2)'!E121 * 'МАИ (Эксперт 3)'!E121)^(1/3)
</f>
        <v>0</v>
      </c>
    </row>
    <row r="122" ht="15.75" customHeight="1">
      <c r="A122" s="9" t="s">
        <v>17</v>
      </c>
      <c r="B122" s="7" t="str">
        <f>1/D120</f>
        <v>#DIV/0!</v>
      </c>
      <c r="C122" s="7" t="str">
        <f>1/D121</f>
        <v>#DIV/0!</v>
      </c>
      <c r="D122" s="10">
        <v>1.0</v>
      </c>
      <c r="E122" s="12">
        <f>('МАИ Эксперт 1'!E122 * 'МАИ (Эксперт 2)'!E122 * 'МАИ (Эксперт 3)'!E122)^(1/3)
</f>
        <v>0</v>
      </c>
    </row>
    <row r="123" ht="15.75" customHeight="1">
      <c r="A123" s="9" t="s">
        <v>20</v>
      </c>
      <c r="B123" s="7" t="str">
        <f>1/E120</f>
        <v>#DIV/0!</v>
      </c>
      <c r="C123" s="7" t="str">
        <f>1/E121</f>
        <v>#DIV/0!</v>
      </c>
      <c r="D123" s="7" t="str">
        <f>1/E122</f>
        <v>#DIV/0!</v>
      </c>
      <c r="E123" s="10">
        <v>1.0</v>
      </c>
    </row>
    <row r="124" ht="15.75" customHeight="1"/>
    <row r="125" ht="15.75" customHeight="1">
      <c r="A125" s="16" t="s">
        <v>22</v>
      </c>
    </row>
    <row r="126" ht="15.75" customHeight="1">
      <c r="A126" s="9" t="s">
        <v>11</v>
      </c>
      <c r="B126" s="7">
        <f t="shared" ref="B126:B129" si="13">PRODUCT(B120:E120)^(1/4)</f>
        <v>0</v>
      </c>
    </row>
    <row r="127" ht="15.75" customHeight="1">
      <c r="A127" s="9" t="s">
        <v>14</v>
      </c>
      <c r="B127" s="7" t="str">
        <f t="shared" si="13"/>
        <v>#DIV/0!</v>
      </c>
    </row>
    <row r="128" ht="15.75" customHeight="1">
      <c r="A128" s="9" t="s">
        <v>17</v>
      </c>
      <c r="B128" s="7" t="str">
        <f t="shared" si="13"/>
        <v>#DIV/0!</v>
      </c>
    </row>
    <row r="129" ht="15.75" customHeight="1">
      <c r="A129" s="9" t="s">
        <v>20</v>
      </c>
      <c r="B129" s="7" t="str">
        <f t="shared" si="13"/>
        <v>#DIV/0!</v>
      </c>
    </row>
    <row r="130" ht="15.75" customHeight="1">
      <c r="A130" s="27" t="s">
        <v>24</v>
      </c>
      <c r="B130" s="7" t="str">
        <f>SUM(B126:B129)</f>
        <v>#DIV/0!</v>
      </c>
    </row>
    <row r="131" ht="15.75" customHeight="1"/>
    <row r="132" ht="15.75" customHeight="1">
      <c r="A132" s="16" t="s">
        <v>26</v>
      </c>
      <c r="B132" s="6"/>
    </row>
    <row r="133" ht="15.75" customHeight="1">
      <c r="A133" s="9" t="s">
        <v>11</v>
      </c>
      <c r="B133" s="7" t="str">
        <f t="shared" ref="B133:B136" si="14">B126/$B$130</f>
        <v>#DIV/0!</v>
      </c>
    </row>
    <row r="134" ht="15.75" customHeight="1">
      <c r="A134" s="9" t="s">
        <v>14</v>
      </c>
      <c r="B134" s="7" t="str">
        <f t="shared" si="14"/>
        <v>#DIV/0!</v>
      </c>
    </row>
    <row r="135" ht="15.75" customHeight="1">
      <c r="A135" s="9" t="s">
        <v>17</v>
      </c>
      <c r="B135" s="7" t="str">
        <f t="shared" si="14"/>
        <v>#DIV/0!</v>
      </c>
    </row>
    <row r="136" ht="15.75" customHeight="1">
      <c r="A136" s="9" t="s">
        <v>20</v>
      </c>
      <c r="B136" s="7" t="str">
        <f t="shared" si="14"/>
        <v>#DIV/0!</v>
      </c>
    </row>
    <row r="137" ht="15.75" customHeight="1"/>
    <row r="138" ht="15.75" customHeight="1">
      <c r="A138" s="16" t="s">
        <v>27</v>
      </c>
      <c r="B138" s="6"/>
      <c r="C138" s="6"/>
    </row>
    <row r="139" ht="15.75" customHeight="1">
      <c r="A139" s="9" t="s">
        <v>11</v>
      </c>
      <c r="B139" s="7" t="str">
        <f t="shared" ref="B139:B142" si="15">SUMPRODUCT(B120:E120,$B$133:$B$136)</f>
        <v>#DIV/0!</v>
      </c>
    </row>
    <row r="140" ht="15.75" customHeight="1">
      <c r="A140" s="9" t="s">
        <v>14</v>
      </c>
      <c r="B140" s="7" t="str">
        <f t="shared" si="15"/>
        <v>#DIV/0!</v>
      </c>
    </row>
    <row r="141" ht="15.75" customHeight="1">
      <c r="A141" s="9" t="s">
        <v>17</v>
      </c>
      <c r="B141" s="7" t="str">
        <f t="shared" si="15"/>
        <v>#DIV/0!</v>
      </c>
    </row>
    <row r="142" ht="15.75" customHeight="1">
      <c r="A142" s="9" t="s">
        <v>20</v>
      </c>
      <c r="B142" s="7" t="str">
        <f t="shared" si="15"/>
        <v>#DIV/0!</v>
      </c>
    </row>
    <row r="143" ht="15.75" customHeight="1"/>
    <row r="144" ht="15.75" customHeight="1">
      <c r="A144" s="16" t="s">
        <v>28</v>
      </c>
    </row>
    <row r="145" ht="15.75" customHeight="1">
      <c r="A145" s="9" t="s">
        <v>11</v>
      </c>
      <c r="B145" s="7" t="str">
        <f t="shared" ref="B145:B148" si="16">B139/B133</f>
        <v>#DIV/0!</v>
      </c>
    </row>
    <row r="146" ht="15.75" customHeight="1">
      <c r="A146" s="9" t="s">
        <v>14</v>
      </c>
      <c r="B146" s="7" t="str">
        <f t="shared" si="16"/>
        <v>#DIV/0!</v>
      </c>
    </row>
    <row r="147" ht="15.75" customHeight="1">
      <c r="A147" s="9" t="s">
        <v>17</v>
      </c>
      <c r="B147" s="7" t="str">
        <f t="shared" si="16"/>
        <v>#DIV/0!</v>
      </c>
    </row>
    <row r="148" ht="15.75" customHeight="1">
      <c r="A148" s="9" t="s">
        <v>20</v>
      </c>
      <c r="B148" s="7" t="str">
        <f t="shared" si="16"/>
        <v>#DIV/0!</v>
      </c>
    </row>
    <row r="149" ht="15.75" customHeight="1"/>
    <row r="150" ht="15.75" customHeight="1">
      <c r="A150" s="27" t="s">
        <v>30</v>
      </c>
      <c r="B150" s="7" t="str">
        <f>AVERAGE(B145:B148)</f>
        <v>#DIV/0!</v>
      </c>
    </row>
    <row r="151" ht="15.75" customHeight="1">
      <c r="A151" s="27" t="s">
        <v>33</v>
      </c>
      <c r="B151" s="7" t="str">
        <f>(B150-4)/(4-1)</f>
        <v>#DIV/0!</v>
      </c>
    </row>
    <row r="152" ht="15.75" customHeight="1">
      <c r="A152" s="27" t="s">
        <v>34</v>
      </c>
      <c r="B152" s="7">
        <v>0.9</v>
      </c>
    </row>
    <row r="153" ht="15.75" customHeight="1">
      <c r="A153" s="27" t="s">
        <v>35</v>
      </c>
      <c r="B153" s="7" t="str">
        <f>B151/B152</f>
        <v>#DIV/0!</v>
      </c>
    </row>
    <row r="154" ht="15.75" customHeight="1">
      <c r="A154" s="27" t="s">
        <v>36</v>
      </c>
      <c r="B154" s="7" t="str">
        <f>IF(B153&lt;=0.1,"Да","Нет")</f>
        <v>#DIV/0!</v>
      </c>
    </row>
    <row r="155" ht="15.75" customHeight="1"/>
    <row r="156" ht="15.75" customHeight="1">
      <c r="A156" s="4" t="s">
        <v>50</v>
      </c>
      <c r="B156" s="6"/>
      <c r="C156" s="6"/>
    </row>
    <row r="157" ht="15.75" customHeight="1">
      <c r="A157" s="7"/>
      <c r="B157" s="8" t="s">
        <v>11</v>
      </c>
      <c r="C157" s="8" t="s">
        <v>14</v>
      </c>
      <c r="D157" s="8" t="s">
        <v>17</v>
      </c>
      <c r="E157" s="8" t="s">
        <v>20</v>
      </c>
    </row>
    <row r="158" ht="15.75" customHeight="1">
      <c r="A158" s="9" t="s">
        <v>11</v>
      </c>
      <c r="B158" s="10">
        <v>1.0</v>
      </c>
      <c r="C158" s="12">
        <f>('МАИ Эксперт 1'!C158 * 'МАИ (Эксперт 2)'!C158 * 'МАИ (Эксперт 3)'!C158)^(1/3)
</f>
        <v>0</v>
      </c>
      <c r="D158" s="12">
        <f>('МАИ Эксперт 1'!D158 * 'МАИ (Эксперт 2)'!D158 * 'МАИ (Эксперт 3)'!D158)^(1/3)
</f>
        <v>0</v>
      </c>
      <c r="E158" s="12">
        <f>('МАИ Эксперт 1'!E158 * 'МАИ (Эксперт 2)'!E158 * 'МАИ (Эксперт 3)'!E158)^(1/3)
</f>
        <v>0</v>
      </c>
    </row>
    <row r="159" ht="15.75" customHeight="1">
      <c r="A159" s="9" t="s">
        <v>14</v>
      </c>
      <c r="B159" s="10" t="str">
        <f>1/C158</f>
        <v>#DIV/0!</v>
      </c>
      <c r="C159" s="10">
        <v>1.0</v>
      </c>
      <c r="D159" s="12">
        <f>('МАИ Эксперт 1'!D159 * 'МАИ (Эксперт 2)'!D159 * 'МАИ (Эксперт 3)'!D159)^(1/3)
</f>
        <v>0</v>
      </c>
      <c r="E159" s="12">
        <f>('МАИ Эксперт 1'!E159 * 'МАИ (Эксперт 2)'!E159 * 'МАИ (Эксперт 3)'!E159)^(1/3)
</f>
        <v>0</v>
      </c>
    </row>
    <row r="160" ht="15.75" customHeight="1">
      <c r="A160" s="9" t="s">
        <v>17</v>
      </c>
      <c r="B160" s="7" t="str">
        <f>1/D158</f>
        <v>#DIV/0!</v>
      </c>
      <c r="C160" s="7" t="str">
        <f>1/D159</f>
        <v>#DIV/0!</v>
      </c>
      <c r="D160" s="10">
        <v>1.0</v>
      </c>
      <c r="E160" s="12">
        <f>('МАИ Эксперт 1'!E160 * 'МАИ (Эксперт 2)'!E160 * 'МАИ (Эксперт 3)'!E160)^(1/3)
</f>
        <v>0</v>
      </c>
    </row>
    <row r="161" ht="15.75" customHeight="1">
      <c r="A161" s="9" t="s">
        <v>20</v>
      </c>
      <c r="B161" s="7" t="str">
        <f>1/E158</f>
        <v>#DIV/0!</v>
      </c>
      <c r="C161" s="7" t="str">
        <f>1/E159</f>
        <v>#DIV/0!</v>
      </c>
      <c r="D161" s="7" t="str">
        <f>1/E160</f>
        <v>#DIV/0!</v>
      </c>
      <c r="E161" s="10">
        <v>1.0</v>
      </c>
    </row>
    <row r="162" ht="15.75" customHeight="1"/>
    <row r="163" ht="15.75" customHeight="1">
      <c r="A163" s="16" t="s">
        <v>22</v>
      </c>
    </row>
    <row r="164" ht="15.75" customHeight="1">
      <c r="A164" s="9" t="s">
        <v>11</v>
      </c>
      <c r="B164" s="7">
        <f t="shared" ref="B164:B167" si="17">PRODUCT(B158:E158)^(1/4)</f>
        <v>0</v>
      </c>
    </row>
    <row r="165" ht="15.75" customHeight="1">
      <c r="A165" s="9" t="s">
        <v>14</v>
      </c>
      <c r="B165" s="7" t="str">
        <f t="shared" si="17"/>
        <v>#DIV/0!</v>
      </c>
    </row>
    <row r="166" ht="15.75" customHeight="1">
      <c r="A166" s="9" t="s">
        <v>17</v>
      </c>
      <c r="B166" s="7" t="str">
        <f t="shared" si="17"/>
        <v>#DIV/0!</v>
      </c>
    </row>
    <row r="167" ht="15.75" customHeight="1">
      <c r="A167" s="9" t="s">
        <v>20</v>
      </c>
      <c r="B167" s="7" t="str">
        <f t="shared" si="17"/>
        <v>#DIV/0!</v>
      </c>
    </row>
    <row r="168" ht="15.75" customHeight="1">
      <c r="A168" s="27" t="s">
        <v>24</v>
      </c>
      <c r="B168" s="7" t="str">
        <f>SUM(B164:B167)</f>
        <v>#DIV/0!</v>
      </c>
    </row>
    <row r="169" ht="15.75" customHeight="1"/>
    <row r="170" ht="15.75" customHeight="1">
      <c r="A170" s="16" t="s">
        <v>26</v>
      </c>
      <c r="B170" s="6"/>
    </row>
    <row r="171" ht="15.75" customHeight="1">
      <c r="A171" s="9" t="s">
        <v>11</v>
      </c>
      <c r="B171" s="7" t="str">
        <f t="shared" ref="B171:B174" si="18">B164/$B$168</f>
        <v>#DIV/0!</v>
      </c>
    </row>
    <row r="172" ht="15.75" customHeight="1">
      <c r="A172" s="9" t="s">
        <v>14</v>
      </c>
      <c r="B172" s="7" t="str">
        <f t="shared" si="18"/>
        <v>#DIV/0!</v>
      </c>
    </row>
    <row r="173" ht="15.75" customHeight="1">
      <c r="A173" s="9" t="s">
        <v>17</v>
      </c>
      <c r="B173" s="7" t="str">
        <f t="shared" si="18"/>
        <v>#DIV/0!</v>
      </c>
    </row>
    <row r="174" ht="15.75" customHeight="1">
      <c r="A174" s="9" t="s">
        <v>20</v>
      </c>
      <c r="B174" s="7" t="str">
        <f t="shared" si="18"/>
        <v>#DIV/0!</v>
      </c>
    </row>
    <row r="175" ht="15.75" customHeight="1"/>
    <row r="176" ht="15.75" customHeight="1">
      <c r="A176" s="16" t="s">
        <v>27</v>
      </c>
      <c r="B176" s="6"/>
      <c r="C176" s="6"/>
    </row>
    <row r="177" ht="15.75" customHeight="1">
      <c r="A177" s="9" t="s">
        <v>11</v>
      </c>
      <c r="B177" s="7" t="str">
        <f t="shared" ref="B177:B180" si="19">SUMPRODUCT(B158:E158,$B$171:$B$174)</f>
        <v>#DIV/0!</v>
      </c>
    </row>
    <row r="178" ht="15.75" customHeight="1">
      <c r="A178" s="9" t="s">
        <v>14</v>
      </c>
      <c r="B178" s="7" t="str">
        <f t="shared" si="19"/>
        <v>#DIV/0!</v>
      </c>
    </row>
    <row r="179" ht="15.75" customHeight="1">
      <c r="A179" s="9" t="s">
        <v>17</v>
      </c>
      <c r="B179" s="7" t="str">
        <f t="shared" si="19"/>
        <v>#DIV/0!</v>
      </c>
    </row>
    <row r="180" ht="15.75" customHeight="1">
      <c r="A180" s="9" t="s">
        <v>20</v>
      </c>
      <c r="B180" s="7" t="str">
        <f t="shared" si="19"/>
        <v>#DIV/0!</v>
      </c>
    </row>
    <row r="181" ht="15.75" customHeight="1"/>
    <row r="182" ht="15.75" customHeight="1">
      <c r="A182" s="16" t="s">
        <v>28</v>
      </c>
    </row>
    <row r="183" ht="15.75" customHeight="1">
      <c r="A183" s="9" t="s">
        <v>11</v>
      </c>
      <c r="B183" s="7" t="str">
        <f t="shared" ref="B183:B186" si="20">B177/B171</f>
        <v>#DIV/0!</v>
      </c>
    </row>
    <row r="184" ht="15.75" customHeight="1">
      <c r="A184" s="9" t="s">
        <v>14</v>
      </c>
      <c r="B184" s="7" t="str">
        <f t="shared" si="20"/>
        <v>#DIV/0!</v>
      </c>
    </row>
    <row r="185" ht="15.75" customHeight="1">
      <c r="A185" s="9" t="s">
        <v>17</v>
      </c>
      <c r="B185" s="7" t="str">
        <f t="shared" si="20"/>
        <v>#DIV/0!</v>
      </c>
    </row>
    <row r="186" ht="15.75" customHeight="1">
      <c r="A186" s="9" t="s">
        <v>20</v>
      </c>
      <c r="B186" s="7" t="str">
        <f t="shared" si="20"/>
        <v>#DIV/0!</v>
      </c>
    </row>
    <row r="187" ht="15.75" customHeight="1"/>
    <row r="188" ht="15.75" customHeight="1">
      <c r="A188" s="27" t="s">
        <v>30</v>
      </c>
      <c r="B188" s="7" t="str">
        <f>AVERAGE(B183:B186)</f>
        <v>#DIV/0!</v>
      </c>
    </row>
    <row r="189" ht="15.75" customHeight="1">
      <c r="A189" s="27" t="s">
        <v>33</v>
      </c>
      <c r="B189" s="7" t="str">
        <f>(B188-4)/(4-1)</f>
        <v>#DIV/0!</v>
      </c>
    </row>
    <row r="190" ht="15.75" customHeight="1">
      <c r="A190" s="27" t="s">
        <v>34</v>
      </c>
      <c r="B190" s="7">
        <v>0.9</v>
      </c>
    </row>
    <row r="191" ht="15.75" customHeight="1">
      <c r="A191" s="27" t="s">
        <v>35</v>
      </c>
      <c r="B191" s="7" t="str">
        <f>B189/B190</f>
        <v>#DIV/0!</v>
      </c>
    </row>
    <row r="192" ht="15.75" customHeight="1">
      <c r="A192" s="27" t="s">
        <v>36</v>
      </c>
      <c r="B192" s="7" t="str">
        <f>IF(B191&lt;=0.1,"Да","Нет")</f>
        <v>#DIV/0!</v>
      </c>
    </row>
    <row r="193" ht="15.75" customHeight="1"/>
    <row r="194" ht="15.75" customHeight="1">
      <c r="A194" s="34"/>
    </row>
    <row r="195" ht="15.75" customHeight="1">
      <c r="A195" s="35" t="s">
        <v>51</v>
      </c>
      <c r="B195" s="6"/>
      <c r="C195" s="6"/>
    </row>
    <row r="196" ht="15.75" customHeight="1">
      <c r="A196" s="36" t="s">
        <v>52</v>
      </c>
      <c r="B196" s="36" t="s">
        <v>53</v>
      </c>
      <c r="C196" s="36" t="s">
        <v>54</v>
      </c>
      <c r="D196" s="36" t="s">
        <v>55</v>
      </c>
      <c r="E196" s="36" t="s">
        <v>56</v>
      </c>
      <c r="F196" s="36" t="s">
        <v>57</v>
      </c>
      <c r="G196" s="36" t="s">
        <v>58</v>
      </c>
    </row>
    <row r="197" ht="15.75" customHeight="1">
      <c r="A197" s="9" t="s">
        <v>11</v>
      </c>
      <c r="B197" s="7" t="str">
        <f t="shared" ref="B197:B200" si="21">B57</f>
        <v>#DIV/0!</v>
      </c>
      <c r="C197" s="7" t="str">
        <f t="shared" ref="C197:C200" si="22">B95</f>
        <v>#DIV/0!</v>
      </c>
      <c r="D197" s="7" t="str">
        <f t="shared" ref="D197:D200" si="23">B133</f>
        <v>#DIV/0!</v>
      </c>
      <c r="E197" s="7" t="str">
        <f t="shared" ref="E197:E200" si="24">B171</f>
        <v>#DIV/0!</v>
      </c>
      <c r="F197" s="7" t="str">
        <f t="shared" ref="F197:F200" si="25">$B$19*B197+$B$20*C197+$B$21*D197+$B$22*E197</f>
        <v>#DIV/0!</v>
      </c>
      <c r="G197" s="7" t="str">
        <f t="shared" ref="G197:G200" si="26">RANK(F197,$F$197:$F$200)</f>
        <v>#DIV/0!</v>
      </c>
    </row>
    <row r="198" ht="15.75" customHeight="1">
      <c r="A198" s="9" t="s">
        <v>14</v>
      </c>
      <c r="B198" s="7" t="str">
        <f t="shared" si="21"/>
        <v>#DIV/0!</v>
      </c>
      <c r="C198" s="7" t="str">
        <f t="shared" si="22"/>
        <v>#DIV/0!</v>
      </c>
      <c r="D198" s="7" t="str">
        <f t="shared" si="23"/>
        <v>#DIV/0!</v>
      </c>
      <c r="E198" s="7" t="str">
        <f t="shared" si="24"/>
        <v>#DIV/0!</v>
      </c>
      <c r="F198" s="7" t="str">
        <f t="shared" si="25"/>
        <v>#DIV/0!</v>
      </c>
      <c r="G198" s="7" t="str">
        <f t="shared" si="26"/>
        <v>#DIV/0!</v>
      </c>
    </row>
    <row r="199" ht="15.75" customHeight="1">
      <c r="A199" s="9" t="s">
        <v>17</v>
      </c>
      <c r="B199" s="7" t="str">
        <f t="shared" si="21"/>
        <v>#DIV/0!</v>
      </c>
      <c r="C199" s="7" t="str">
        <f t="shared" si="22"/>
        <v>#DIV/0!</v>
      </c>
      <c r="D199" s="7" t="str">
        <f t="shared" si="23"/>
        <v>#DIV/0!</v>
      </c>
      <c r="E199" s="7" t="str">
        <f t="shared" si="24"/>
        <v>#DIV/0!</v>
      </c>
      <c r="F199" s="7" t="str">
        <f t="shared" si="25"/>
        <v>#DIV/0!</v>
      </c>
      <c r="G199" s="7" t="str">
        <f t="shared" si="26"/>
        <v>#DIV/0!</v>
      </c>
    </row>
    <row r="200" ht="15.75" customHeight="1">
      <c r="A200" s="9" t="s">
        <v>20</v>
      </c>
      <c r="B200" s="7" t="str">
        <f t="shared" si="21"/>
        <v>#DIV/0!</v>
      </c>
      <c r="C200" s="7" t="str">
        <f t="shared" si="22"/>
        <v>#DIV/0!</v>
      </c>
      <c r="D200" s="7" t="str">
        <f t="shared" si="23"/>
        <v>#DIV/0!</v>
      </c>
      <c r="E200" s="7" t="str">
        <f t="shared" si="24"/>
        <v>#DIV/0!</v>
      </c>
      <c r="F200" s="7" t="str">
        <f t="shared" si="25"/>
        <v>#DIV/0!</v>
      </c>
      <c r="G200" s="7" t="str">
        <f t="shared" si="26"/>
        <v>#DIV/0!</v>
      </c>
    </row>
    <row r="201" ht="15.75" customHeight="1">
      <c r="A201" s="3"/>
    </row>
    <row r="202" ht="15.75" customHeight="1"/>
    <row r="203" ht="15.75" customHeight="1"/>
    <row r="204" ht="15.75" customHeight="1"/>
    <row r="205" ht="15.75" customHeight="1"/>
    <row r="206" ht="15.75" customHeight="1">
      <c r="A206" s="3"/>
    </row>
    <row r="207" ht="15.75" customHeight="1"/>
    <row r="208" ht="15.75" customHeight="1">
      <c r="A208" s="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>
      <c r="A214" s="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6" width="14.0"/>
    <col customWidth="1" min="7" max="26" width="8.71"/>
  </cols>
  <sheetData>
    <row r="1">
      <c r="A1" s="1" t="s">
        <v>64</v>
      </c>
    </row>
    <row r="2">
      <c r="A2" s="3" t="s">
        <v>65</v>
      </c>
    </row>
    <row r="4">
      <c r="A4" s="37" t="s">
        <v>52</v>
      </c>
      <c r="B4" s="37" t="s">
        <v>66</v>
      </c>
      <c r="C4" s="37" t="s">
        <v>67</v>
      </c>
      <c r="D4" s="37" t="s">
        <v>68</v>
      </c>
      <c r="E4" s="37" t="s">
        <v>69</v>
      </c>
      <c r="F4" s="37" t="s">
        <v>70</v>
      </c>
    </row>
    <row r="5">
      <c r="A5" s="22" t="s">
        <v>11</v>
      </c>
      <c r="B5" s="38" t="str">
        <f>TOPSIS!B88</f>
        <v>#DIV/0!</v>
      </c>
      <c r="C5" s="38" t="str">
        <f>TOPSIS!C88</f>
        <v>#DIV/0!</v>
      </c>
      <c r="D5" s="22" t="str">
        <f>'МАИ Эксперт 1'!F197</f>
        <v>#DIV/0!</v>
      </c>
      <c r="E5" s="22" t="str">
        <f>'МАИ Эксперт 1'!G197</f>
        <v>#DIV/0!</v>
      </c>
      <c r="F5" s="39" t="str">
        <f t="shared" ref="F5:F8" si="1">IF(C5=E5,"Да","Нет")</f>
        <v>#DIV/0!</v>
      </c>
    </row>
    <row r="6">
      <c r="A6" s="22" t="s">
        <v>14</v>
      </c>
      <c r="B6" s="38" t="str">
        <f>TOPSIS!B89</f>
        <v>#DIV/0!</v>
      </c>
      <c r="C6" s="38" t="str">
        <f>TOPSIS!C89</f>
        <v>#DIV/0!</v>
      </c>
      <c r="D6" s="22" t="str">
        <f>'МАИ Эксперт 1'!F198</f>
        <v>#DIV/0!</v>
      </c>
      <c r="E6" s="22" t="str">
        <f>'МАИ Эксперт 1'!G198</f>
        <v>#DIV/0!</v>
      </c>
      <c r="F6" s="39" t="str">
        <f t="shared" si="1"/>
        <v>#DIV/0!</v>
      </c>
    </row>
    <row r="7">
      <c r="A7" s="22" t="s">
        <v>17</v>
      </c>
      <c r="B7" s="38" t="str">
        <f>TOPSIS!B90</f>
        <v>#DIV/0!</v>
      </c>
      <c r="C7" s="38" t="str">
        <f>TOPSIS!C90</f>
        <v>#DIV/0!</v>
      </c>
      <c r="D7" s="22" t="str">
        <f>'МАИ Эксперт 1'!F199</f>
        <v>#DIV/0!</v>
      </c>
      <c r="E7" s="22" t="str">
        <f>'МАИ Эксперт 1'!G199</f>
        <v>#DIV/0!</v>
      </c>
      <c r="F7" s="39" t="str">
        <f t="shared" si="1"/>
        <v>#DIV/0!</v>
      </c>
    </row>
    <row r="8">
      <c r="A8" s="22" t="s">
        <v>20</v>
      </c>
      <c r="B8" s="38" t="str">
        <f>TOPSIS!B91</f>
        <v>#DIV/0!</v>
      </c>
      <c r="C8" s="38" t="str">
        <f>TOPSIS!C91</f>
        <v>#DIV/0!</v>
      </c>
      <c r="D8" s="22" t="str">
        <f>'МАИ Эксперт 1'!F200</f>
        <v>#DIV/0!</v>
      </c>
      <c r="E8" s="22" t="str">
        <f>'МАИ Эксперт 1'!G200</f>
        <v>#DIV/0!</v>
      </c>
      <c r="F8" s="39" t="str">
        <f t="shared" si="1"/>
        <v>#DIV/0!</v>
      </c>
    </row>
    <row r="11">
      <c r="A11" s="40" t="s">
        <v>72</v>
      </c>
      <c r="D11" s="22" t="str">
        <f>1-6*((C5-E5)^2+(C6-E6)^2+(C7-E7)^2+(C8-E8)^2)/(4*(4^2-1))</f>
        <v>#DIV/0!</v>
      </c>
      <c r="E11" s="22" t="s">
        <v>73</v>
      </c>
    </row>
    <row r="13">
      <c r="A13" s="40" t="s">
        <v>74</v>
      </c>
      <c r="D13" s="39" t="str">
        <f t="array" ref="D13">INDEX(A5:A8,MATCH(MAX(B5:B8),B5:B8,0))</f>
        <v>#DIV/0!</v>
      </c>
    </row>
    <row r="14">
      <c r="A14" s="40" t="s">
        <v>76</v>
      </c>
      <c r="D14" s="39" t="str">
        <f t="array" ref="D14">INDEX(A5:A8,MATCH(MAX(D5:D8),D5:D8,0))</f>
        <v>#DIV/0!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